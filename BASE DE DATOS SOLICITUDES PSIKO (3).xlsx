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msc2\Downloads\"/>
    </mc:Choice>
  </mc:AlternateContent>
  <xr:revisionPtr revIDLastSave="0" documentId="8_{5E059EED-304B-478A-8FB7-89EC802F94E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nteresados" sheetId="8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2" i="8" l="1"/>
  <c r="E409" i="8"/>
  <c r="E302" i="8"/>
  <c r="E262" i="8"/>
  <c r="E206" i="8"/>
  <c r="E175" i="8"/>
  <c r="E103" i="8"/>
  <c r="E3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tc={4cac1d47-2ce6-47b5-ba98-6b8aa7aa288f}</author>
    <author>tc={fdf9f53e-7cba-4ce3-8e81-9e2a7fccda5a}</author>
    <author>tc={73f10799-8efe-4170-8aa1-7813f3d88fba}</author>
    <author>tc={8fdb9af7-803b-4fd0-8c88-e26270a20964}</author>
    <author>tc={ae0eea8e-a33e-449d-a69c-f2a50399f2cc}</author>
    <author>tc={8b60c1a1-0965-474a-8737-8e597050c828}</author>
    <author>tc={2331f65b-dfc8-4ef8-afd9-8edb5c5844ed}</author>
    <author>tc={58133c2f-f707-4187-8c17-b55398705367}</author>
    <author>tc={ac7b5101-504a-4914-9649-fe3dcaa9c457}</author>
    <author>tc={bcb9f629-3de5-4aad-b638-cc96b7fa14ff}</author>
    <author>tc={484ac0ac-9b2d-4277-915b-67130d1a7b8f}</author>
    <author>tc={60ea3c8a-c8f1-4e51-bf80-f4af48222d75}</author>
    <author>tc={351a0c10-3ad4-4b71-8ee1-3d8f7b874c40}</author>
    <author>tc={ad895c5f-8e2f-4de4-a972-3306974379d8}</author>
    <author>tc={a10f1092-bd5e-4deb-a7ab-888ec54b00f3}</author>
    <author>tc={6c6f23ba-2fd6-4901-b228-7141bc6a8a4f}</author>
    <author>tc={32b1b2e8-3cf9-473e-94b7-6f3fd662efc0}</author>
    <author>tc={de1606c7-4ca1-453e-b686-83430e5a9d70}</author>
    <author>tc={3b553f9e-1f9a-466e-92e6-922f26de046a}</author>
    <author>tc={69fad121-682f-4ebb-a420-10fd49128297}</author>
    <author>tc={421c6f26-7f03-47df-b223-e0fa4f881ee0}</author>
    <author>tc={62bc8dca-658e-4887-bab1-6c63fa50c1e5}</author>
    <author>tc={24fd9e4e-00f5-48db-9819-59eb5b9f3e52}</author>
    <author>tc={1aa68b23-534a-42d8-909f-ceaf217cac35}</author>
    <author>tc={d7ad3185-186e-4954-8a01-926d8cfd87ad}</author>
    <author>tc={109cfab2-8826-47b9-9ba2-1faf7fd1fb40}</author>
    <author>tc={03ceaf01-efef-4083-9592-be2e258b9cdf}</author>
    <author>tc={5a7040c2-a421-44db-b72d-9fa3e97eba0d}</author>
    <author>tc={630dc227-4930-4482-86b2-cbee18df3dda}</author>
    <author>tc={bb4bf76b-21b8-4465-aab8-fd3b66d27e67}</author>
    <author>tc={fed38afe-3789-4594-be37-461162ed0336}</author>
    <author>tc={e3e97724-b7fb-444e-bd05-828a70e3f205}</author>
    <author>tc={b7a87735-7e11-4d7e-be32-3acbb44848f6}</author>
    <author>tc={a80213b3-02bf-4981-8816-53fd10214ce3}</author>
    <author>tc={d473ce40-c1d1-4228-b044-35f606155d2c}</author>
    <author>tc={a9c2777e-ca89-4355-ad8d-10c642190cc5}</author>
    <author>tc={c1e907e5-4e7d-48cc-8907-d22cc73ae657}</author>
    <author>tc={4c8268f1-0726-434c-9180-9ae9cba06a9a}</author>
    <author>tc={853cb86f-ef09-4520-b25b-b85bf2ebf84f}</author>
    <author>tc={6e2df324-ca1c-4553-bcf9-8565eaa4c441}</author>
    <author>tc={820430e4-e45e-4ba1-a98e-5ef0a0d60c5c}</author>
    <author>tc={be0bed7b-0085-47a5-adc8-cf54820f167c}</author>
    <author>tc={0cd7eeb9-b6de-478d-8d08-4f087b590e48}</author>
    <author>tc={ecf6b2a6-9c43-40b3-bae2-859f6629f61a}</author>
    <author>tc={26679580-96a9-4ae4-808e-50781ceee97d}</author>
    <author>tc={e3b9a0eb-ad99-4cc7-9c5f-80a5432520dd}</author>
    <author>tc={4ea2e119-d9ee-474f-a7a1-918e6808bbd7}</author>
    <author>tc={765707ba-cb7b-469b-bfcf-65b6a43fc4bd}</author>
    <author>tc={27628609-9c7e-459d-b8a5-117ae7592d28}</author>
    <author>tc={c02f515e-a3fc-4e3e-aebc-8fce3c3873f4}</author>
    <author>tc={8b608f52-81e3-43f9-86bd-77a8a5a08691}</author>
    <author>tc={114d78a9-a2b2-46d7-9f80-e37b02031e8a}</author>
    <author>tc={4cfc7d89-b7da-4197-943b-8697aab5200f}</author>
    <author>tc={8d92dcb0-6602-4ff4-b49f-ef2435f76996}</author>
    <author>tc={956c56c0-461b-47aa-b858-ffe000b47b26}</author>
    <author>tc={b7687521-3038-4f97-a11b-94ab6f3af8b8}</author>
    <author>tc={1d31ab69-abf0-445f-ad3e-45d513d63444}</author>
    <author>tc={53d6f8cc-8a11-439e-af2d-6741f1cd3f3a}</author>
    <author>tc={3ffc4db9-f919-4b2d-953c-59e296494f38}</author>
    <author>tc={7098fdb5-ba9c-4871-b6b3-1adb2d9a95c2}</author>
    <author>tc={3a80a785-31a4-4f70-adaa-087256c25f26}</author>
    <author>tc={2148113a-393d-43a3-b639-4a0c877c3612}</author>
    <author>tc={ed8d4a27-6c01-40cc-b0eb-1eb2b1e3fe1d}</author>
    <author>tc={418939e2-853f-42c1-847c-158b74d854ea}</author>
    <author>tc={9a6b0c7a-15c3-4418-a95c-670071e39921}</author>
    <author>tc={171945c6-0f6c-4718-9ec4-a264353783df}</author>
    <author>tc={bf44a8f9-2e29-4dcb-985b-2a83d4e3a9c3}</author>
    <author>tc={76578872-8b56-4037-84d9-27b374ae6af9}</author>
    <author>tc={7945c7c1-409a-47bc-b49d-2feed6e88bee}</author>
    <author>tc={70727c79-b2d8-4d47-a160-234f19b7ee42}</author>
    <author>tc={3e556ced-88bf-44a0-ac1a-3671fb041c77}</author>
    <author>tc={fc2eac7c-2e4a-4c5f-98d4-c851c66b8775}</author>
    <author>tc={e68b11dc-1a60-4372-921b-b4c4222e5c0f}</author>
    <author>tc={a82bd22c-5df4-4d0a-a4f8-484d6682449f}</author>
    <author>tc={1c48aced-84a0-4df3-b9c9-03d46d23c4f4}</author>
    <author>tc={9a896cc6-9d98-4112-9636-a0e317e4c9b6}</author>
    <author>tc={0bf3338a-e7c8-4fb9-aa8b-75b694b7dbbb}</author>
    <author>tc={284f589d-2aaf-45da-ae6d-89aaed96a6ae}</author>
    <author>tc={d86d4fc8-e2b4-4b78-8892-23d8a86c86c4}</author>
    <author>tc={3b12eb46-0b8f-485e-9c9f-e4706f678f6a}</author>
    <author>tc={743ed1bf-63a2-4213-917d-ed89c18d774c}</author>
    <author>tc={5e66faa1-a805-4e58-84c8-718785ed1d71}</author>
    <author>tc={e4dd7a49-e18b-4517-b9ae-32672d3b3d6c}</author>
    <author>tc={7b1b3527-4b4f-4394-bf97-4424741b2847}</author>
    <author>tc={ba4095b3-6574-4371-a254-bdc431de28ad}</author>
    <author>tc={34cc8325-eacb-463b-97df-8434e7d07e20}</author>
    <author>tc={eaabb69c-0af6-4340-bf20-95fdf4d9e795}</author>
    <author>tc={5fa24dc5-6581-42d9-b417-0fda8e0e9cf2}</author>
    <author>tc={4d2c3cb6-0e12-422e-af74-74ba97078a45}</author>
    <author>tc={f3c9c2bc-a7d3-48a0-9920-328e0c81a6d8}</author>
    <author>tc={cdef4103-87d6-412d-9c28-4f2a21f5f728}</author>
    <author>tc={0bccf23f-c47d-4a04-a7a5-0ebc2935060a}</author>
    <author>tc={52c712dc-53cc-456b-b543-503d0472fcc8}</author>
    <author>tc={b3c69976-fc08-430d-be09-9fef737890a1}</author>
    <author>tc={14ad2872-f28a-4966-844f-bec741e91a65}</author>
    <author>tc={b1cff03d-b496-4887-acf9-ff599a12c8eb}</author>
    <author>tc={fbcee2d7-6501-401b-b259-53e56e423a3e}</author>
    <author>tc={523df8f2-5bf3-49b8-9eee-96e2e4757395}</author>
    <author>tc={afc60579-bb0f-4b7b-bb26-ddc8b1eba7f9}</author>
    <author>tc={0876e4c2-de5f-41fe-9f44-b2e301e99bbc}</author>
    <author>tc={dd3f58d6-6370-4516-889b-c67f28aa4d60}</author>
    <author>tc={33d57c8a-e661-4568-9c86-7e55a0bd07a0}</author>
    <author>tc={e2f804ff-9d03-472c-8aa8-7b51666f2af5}</author>
    <author>tc={34b1de73-bba8-46a0-a75f-f85994ef0e5f}</author>
    <author>tc={076d87f0-a0d2-43d3-a4c3-a5e2ca6b1749}</author>
    <author>tc={9189343b-51e5-4802-b997-a6ad5b1808ed}</author>
    <author>tc={1a281496-a32d-4bae-bb50-f7e0afabbac0}</author>
    <author>tc={d23bcc66-26d1-45bb-b527-b279e79f2c84}</author>
    <author>tc={2e588f4c-9857-4a4b-b4cf-ecd00c700344}</author>
    <author>tc={60b6ff30-7806-4462-94f2-23f092ea0cf0}</author>
    <author>tc={9468926e-8360-4a16-9c4a-9d580f63a91d}</author>
    <author>tc={db8118b1-4e53-40e4-98f0-102ddcbe1f49}</author>
    <author>tc={14a27f9e-e9b8-40b9-b5ea-69fcfb6ac467}</author>
    <author>tc={a0c7737c-9816-42b8-a516-c5a6f7604de6}</author>
    <author>tc={fd14de8d-e611-4bf7-bfb5-d80be070b768}</author>
    <author>tc={41743835-b267-4f46-a88a-10894bcd0638}</author>
    <author>tc={dae3877e-0263-481d-92d9-578e23aec414}</author>
    <author>tc={831ace24-2a26-4205-a286-4939d1de329c}</author>
    <author>tc={57b0a0cf-7c53-4e60-b05c-e94e850779ac}</author>
    <author>tc={ea4f7f24-0424-4815-a340-baf9cc2b92dc}</author>
    <author>tc={60a685b7-d70a-48fc-b0a4-e391b172fd15}</author>
    <author>tc={6797a107-19af-41b4-b0e9-14aa345df035}</author>
    <author>tc={7155e15e-58e0-4371-ad96-38ff09b95b24}</author>
    <author>tc={6ac27252-1a1c-477d-8b01-a720e8054c7c}</author>
    <author>tc={f34010b1-5883-4daf-85ff-26a84f9dcf67}</author>
    <author>tc={94492e0e-340a-4e79-a8bf-c828957f0cf3}</author>
    <author>tc={5f1c12f4-a396-42af-9778-ac1a13367e3d}</author>
    <author>tc={4c1bb10b-a4a7-4035-916b-d25d130d19bf}</author>
    <author>tc={3f92862a-52ac-4688-a7c9-850a4e27a187}</author>
    <author>tc={3d59831e-58ef-4722-baf6-7a23e6e8a9a0}</author>
    <author>tc={1a69f08f-de1b-403a-a66b-f9fde93a9705}</author>
    <author>tc={beaa90a7-3e67-4948-98c5-bdea6be52d96}</author>
    <author>tc={2eb65c3f-2896-47c4-8468-62ac3de047a9}</author>
    <author>tc={eb31f0c5-cd6a-45e6-99c7-a428b2a8824c}</author>
    <author>tc={2b17f158-9bd2-43e7-a0c7-cf66d9e10234}</author>
    <author>tc={2ac45317-4aa6-40e1-824e-e160d59562e0}</author>
    <author>tc={c2e2d256-b1e5-451d-b188-960886157e49}</author>
    <author>tc={c214c2c8-58e3-41ce-a679-99d3eeeb737d}</author>
    <author>tc={93a1b617-ba4f-4399-9c24-82bf5eadcbea}</author>
    <author>tc={4ceaf30a-9ec1-4b9f-90f1-4ff28a360d96}</author>
    <author>tc={e81b3199-8ac7-4a79-ae01-1b78b88c414e}</author>
    <author>tc={2f71461a-1474-478a-b17f-b71f988b1bc6}</author>
    <author>tc={cbde3db7-4e9b-463b-9fef-2ade3efc65aa}</author>
    <author>tc={08c2e782-3eaf-4b83-aa29-60a136c9913f}</author>
    <author>tc={d6084050-9236-44cb-bf23-80ecaf4b43e3}</author>
    <author>tc={13601234-992e-46fd-aecc-35a631acab29}</author>
    <author>tc={f9df4b61-a505-4ece-90b7-fb0249463b0c}</author>
    <author>tc={195f29dc-5ff4-4793-ab8c-9b5fe7aac8bf}</author>
    <author>tc={9df6ec65-1608-4e81-a77c-f9886c1089b7}</author>
    <author>tc={4863712d-b892-4985-8ddb-fe5077effc1e}</author>
    <author>tc={28a500cf-a2ed-4a15-a12b-efe296004c64}</author>
    <author>tc={0ee64e04-7f49-4062-a4ff-92bdcf57bcc8}</author>
    <author>tc={944d80fc-a6aa-4819-9797-cbb74cad2c01}</author>
    <author>tc={1d59d84c-ea4c-4965-aab8-dd89cdf67a36}</author>
    <author>tc={48ed4c06-1e02-493d-8176-f1455dade942}</author>
    <author>tc={7955404c-3bfe-405a-b181-da6b81b7ec05}</author>
    <author>tc={b6124d1a-97a9-4c88-82ea-9a344308a29d}</author>
    <author>tc={f2c0df05-e375-419b-b9e2-606feff16822}</author>
    <author>tc={a989c465-4b43-4c7f-b3ab-4b2d86bda285}</author>
    <author>tc={a11e3ba9-c974-4172-bdd3-a18c0170c1dc}</author>
    <author>tc={23ac5760-4e96-473b-b73c-0419c7560291}</author>
    <author>tc={07f55f8a-7e9d-4ed8-9e28-30b6775ccb25}</author>
    <author>tc={c06ebde0-2850-47b7-8408-2104670b6af8}</author>
    <author>tc={17001867-4849-4e6b-a199-03b3d75d4751}</author>
    <author>tc={20a50c11-5735-4d3e-a702-fca7841c09a4}</author>
    <author>tc={05ac2458-d4aa-44fa-8653-a587f559ffd8}</author>
    <author>tc={aa8fdb2e-6bdb-4119-a6a8-47b863448757}</author>
    <author>tc={ba32c450-643e-436b-801d-dc4e39d8f086}</author>
    <author>tc={6cc6c29b-5adf-434a-959e-9da89ad27725}</author>
    <author>tc={a7bf19c2-04f1-42d1-a98d-4c9045ee2cf3}</author>
    <author>tc={0574b02a-8da0-419d-a224-6adb25f37cc9}</author>
    <author>tc={782de8f1-7546-4e2f-8606-f86b1d3537f6}</author>
    <author>tc={5b19afab-9360-4de3-9d97-f6f16d92a123}</author>
    <author>tc={ebd133f1-e5d2-4571-9f61-70db9b57d5dc}</author>
    <author>tc={416a768c-08fb-4a94-8047-bd88059ecf8b}</author>
    <author>tc={d3103c80-7297-40cb-8779-4399cad9e83b}</author>
    <author>tc={e9306723-f923-4589-9535-35304f87f695}</author>
    <author>tc={8f6181e8-cff0-46a2-a06f-9f0aaaa86ea1}</author>
    <author>tc={1b4cbfc7-01b4-4c51-87e8-377bc28c0fd0}</author>
    <author>tc={5e9fee31-7951-4f45-94e2-9f4699ed9171}</author>
    <author>tc={d4aad72e-5f91-4283-bb24-3b66b14e75a4}</author>
    <author>tc={9b9702d0-7b6a-48cd-868b-f617325ecb69}</author>
    <author>tc={3ac76a78-a3a6-4895-833d-0ea906323b88}</author>
    <author>tc={7e2e6cb0-955f-4cd7-8e09-34b618c93e1b}</author>
    <author>tc={b6d5e00d-1df8-4814-a610-13b1f746e177}</author>
    <author>tc={0b3ed283-c8b7-4b76-9c5d-aed29838a5a4}</author>
    <author>tc={f121b310-69c0-4c4a-804d-8376feea421d}</author>
    <author>tc={4ff7d20b-763d-426c-b73c-31a2a29c3745}</author>
    <author>tc={adb651a5-80e7-4f21-958f-1aa8de841f01}</author>
    <author>tc={f7822df6-e042-45d7-8f60-2025e7677d8f}</author>
    <author>tc={da473277-bceb-4505-9093-4a4cd263f89f}</author>
    <author>tc={2c0fb11a-5317-495f-afe4-8cfec8e8ff29}</author>
    <author>tc={4602f382-3df6-4d39-b168-1785dc909f9c}</author>
    <author>tc={516fec53-8c0f-4ab0-9433-71b730149f21}</author>
    <author>tc={ac88de3d-2677-4df8-b747-9bf020a23619}</author>
    <author>tc={221daffd-8545-41e6-8086-287ecd806d4f}</author>
    <author>tc={46a4e66a-3c76-495b-b232-7e7a9311c6cc}</author>
    <author>tc={7baee4fe-f442-4fd3-a25f-44c4aa3ee3bc}</author>
    <author>tc={adaf566b-8027-419e-810e-71238c60376c}</author>
    <author>tc={fc4ae03d-939b-409f-b648-487c24eb8837}</author>
    <author>tc={18a0a08f-0949-43e8-85b4-6181ae544599}</author>
    <author>tc={29fd3b8a-85e9-449f-9a9b-8d622f0fa162}</author>
    <author>tc={723d8958-4fb2-4be1-8d06-301f957b0311}</author>
    <author>tc={a6dc9006-898a-4cf2-b1e6-cfb91718656b}</author>
    <author>tc={b0f636f6-3af1-46c5-91aa-3d726f2286be}</author>
    <author>tc={168a7702-0076-446f-a948-66703efbd878}</author>
    <author>tc={fd43f21e-fe2a-4b20-83a3-dd891863e8c2}</author>
    <author>tc={7438dd76-0d1d-446d-808b-7e5ac9bdc736}</author>
    <author>tc={a924a49c-d340-4728-b4d0-1cdd1ff04d0d}</author>
    <author>tc={56b95bde-8c5b-4036-888d-ae666caaa96e}</author>
    <author>tc={77d30919-a89f-458d-8d5e-b8c6a4df5d37}</author>
    <author>tc={1e8803cd-f467-478c-aedf-a7ff037de024}</author>
    <author>tc={654c26ed-fa68-414a-bebe-993ba6be4633}</author>
    <author>tc={a8334910-a347-4025-8af4-0699f4de8bb0}</author>
    <author>tc={7f6935b3-0514-49d6-9e0b-3bad801c30da}</author>
    <author>tc={d152e97f-3845-4799-8269-2ab94794b49a}</author>
    <author>tc={6c5cb0ec-81ca-4c57-9ec7-61c9544f2b6b}</author>
    <author>tc={97e99d71-edf9-49b2-8c71-d9ad4e4df7de}</author>
    <author>tc={2f992124-98e5-4551-8480-c2d29b62b2af}</author>
    <author>tc={d3b18c61-b64d-4d33-b355-a88f8fae0008}</author>
    <author>tc={23d2f086-f623-40be-bd91-aac7f7a75c3c}</author>
    <author>tc={865e53d7-405d-4a5e-b519-7d1e485f3959}</author>
    <author>tc={fcc155dc-b955-4013-998e-aac4f879c881}</author>
    <author>tc={5f3d350a-4855-42e5-95f5-4878bff96c9c}</author>
    <author>tc={04cb7c0c-34b6-401c-8596-656282f6649e}</author>
    <author>tc={2b79c04c-be93-414d-ac8c-b38503b296af}</author>
    <author>tc={f4391f19-c5b1-4ac6-8cc3-eba81624cf58}</author>
    <author>tc={a4dc96b7-988e-46f7-bcb0-2df9bebc4632}</author>
    <author>tc={80d22a44-c43d-45ea-9292-e372eb9b342a}</author>
    <author>tc={901ffccc-cacd-410a-b5bf-1f7c87cbd4c0}</author>
    <author>tc={1769984c-724f-47e9-aba9-613f9d6114ba}</author>
    <author>tc={4169599f-9eb2-4d87-a209-14f5a1c481dd}</author>
    <author>tc={58da22cb-0327-4d62-9d41-49be4358682c}</author>
    <author>tc={4744444f-ee02-416b-95fb-b038ae32f720}</author>
    <author>tc={9ef388d3-be90-41f4-a8ac-d9aeca0d3ab6}</author>
    <author>tc={0d2fc81a-d163-4b6d-b988-8d350e819cb0}</author>
    <author>tc={091de138-4511-400f-99af-738acd1c8ade}</author>
    <author>tc={6deea671-7247-4386-8ad5-dc8e54c16560}</author>
    <author>tc={6c9b3371-7a49-4ba4-9812-7492d730555a}</author>
    <author>tc={360da250-ad17-40b4-91b2-3b9a0cb46b5d}</author>
    <author>tc={f35b27c0-e245-40c5-af05-85644ee0a77e}</author>
    <author>tc={1f504661-bf51-4ff9-807c-d16529dc6135}</author>
    <author>tc={db3f606a-a655-4513-bcac-d63053f4da34}</author>
    <author>tc={bd841aa8-6d9b-41a1-9539-190ec847e408}</author>
    <author>tc={67ab9c91-d64e-4be0-bea0-438216ff8d3a}</author>
    <author>tc={7d5c35b7-e205-4e92-b98a-365d3af90645}</author>
    <author>tc={d1a698cd-dd49-4c00-8703-878fe18d072a}</author>
    <author>tc={73482b4b-1d4f-49f9-bf45-36ef42d287f0}</author>
    <author>tc={9e764392-e9e6-4bac-b390-90e307184a92}</author>
    <author>tc={5aceebaf-a699-428e-a640-157b789f22e0}</author>
    <author>tc={f4bdce4d-e957-43f5-8eb5-0b321a113a8d}</author>
    <author>tc={e940bf07-b8a4-4452-a1b9-4573aa76d622}</author>
    <author>tc={bfc362c2-74a7-4e40-8caa-4ef6e10ccf23}</author>
    <author>tc={ab372531-a452-44a4-81eb-b92d088ec5b7}</author>
    <author>tc={3f745b68-2fd6-4186-a0f6-9a70919e1e52}</author>
    <author>tc={cb1689b6-3107-4331-866a-c18bbafce785}</author>
    <author>tc={bebd1c6e-886f-466e-bb74-7af85062c2a3}</author>
    <author>tc={7488fd15-e7bc-4ec9-b91c-ce8fa36c1136}</author>
    <author>tc={74c06904-6f7d-4301-be1e-4f419f3f2b1d}</author>
    <author>tc={1ee170dd-1e5d-47c4-98a2-4d237802e233}</author>
    <author>tc={e5e0387c-7529-479d-b38b-795606b4de8d}</author>
    <author>tc={88a026c9-f95e-45ba-871d-597fb134a719}</author>
    <author>tc={6af6802b-be54-41a9-b725-5e06175eed50}</author>
    <author>tc={aa92e0a7-8f56-4a24-b626-e51fb4fb13a1}</author>
    <author>tc={fb304143-5314-4827-acb3-de8cd79f2964}</author>
    <author>tc={d3993c26-f141-4319-8fd1-0f7038f12851}</author>
    <author>tc={aaaa932d-3d6b-4bf3-9a72-7c95be0bb3b9}</author>
    <author>tc={72571579-4c38-4843-984b-db59b605e440}</author>
    <author>tc={d162684b-c5ec-4472-8b40-e5b287ddb7d7}</author>
    <author>tc={4fd84c28-67cd-4ab6-9748-791ec738a58f}</author>
    <author>tc={c3b9e007-cdf0-48d5-b9cb-c56df57c445a}</author>
    <author>tc={e5f3b84d-796d-43a9-93ca-1299ff67d176}</author>
    <author>tc={69740899-f759-40cd-956f-659a75fd0967}</author>
    <author>tc={24300feb-5a6b-443c-b69c-cc36410c44d3}</author>
    <author>tc={6422e4e6-2440-467b-be2c-6cd3ebf87221}</author>
    <author>tc={c7bb2058-4d84-406a-befe-36b567405b24}</author>
    <author>tc={96bc3a4d-8303-4368-bcff-76cc67c71bd1}</author>
    <author>tc={39471e2d-b85d-4222-aa38-3e017662d372}</author>
    <author>tc={af4ecf3b-e64a-4a3e-b372-f4823db924e2}</author>
    <author>tc={98ef90f5-d842-45e8-9a28-ff99edc7063a}</author>
    <author>tc={335ab5b9-7601-473f-ba84-5991a47bc0d9}</author>
    <author>tc={49aca611-55cd-4e77-a6ce-b18a24e5fbfb}</author>
    <author>tc={7e77c45c-3b3b-4258-a85a-01a91e851d42}</author>
    <author>tc={b57f677b-8516-4c0e-b204-8b3595d998c5}</author>
    <author>tc={6041eae1-709d-4f36-8ac9-36a182cbad73}</author>
    <author>tc={5412a484-b1a8-44df-a780-f1554eea0d2e}</author>
    <author>tc={8f73f242-08f7-489a-a19e-6e879bf99d3d}</author>
    <author>tc={ec570e80-304f-4a81-9bf0-b2ff91bb7d01}</author>
    <author>tc={bb8ff342-bf28-4bcb-ad20-4da2bb57ccfe}</author>
    <author>tc={b1d209f4-3039-4ad3-83fc-16cf6abdd4a7}</author>
    <author>tc={f2cbc7ed-e9e3-40c5-b01d-b4792ce05291}</author>
    <author>tc={efd8fa9e-9f38-4c0f-a2ef-4f155c4f8d83}</author>
    <author>tc={7d71a9f1-64f4-4d2f-ae10-1581ea1a25b4}</author>
    <author>tc={3eedcf8d-2ec9-4579-9173-41b0e3aea128}</author>
    <author>tc={7810c6e2-fc3a-45ae-ad49-58356927a630}</author>
    <author>tc={6850c17d-c5fd-4d7d-beeb-b567b0097028}</author>
    <author>tc={4c29d60b-4d42-4482-8fa1-3ef7f98475b0}</author>
    <author>tc={7a7f858e-f939-486d-a449-f618160a8b4b}</author>
    <author>tc={49274567-4750-4d50-83cb-18e548ed7eba}</author>
    <author>tc={1a892232-233a-441b-bf6d-5f0a8f7b0b67}</author>
    <author>tc={f6aaad2c-95dd-45a4-b346-6de88e58bcc1}</author>
    <author>tc={196035c4-c60c-4ed5-9ebe-bdb18160938a}</author>
    <author>tc={41301e4a-77c4-4e8f-87ce-b7860025f149}</author>
    <author>tc={066812ad-c95e-4eb9-93eb-b85c53c15ccf}</author>
    <author>tc={62716a8a-1d64-42d8-bd5b-93c1b0779640}</author>
    <author>tc={6dedefc8-3521-4a74-bcc7-d315ee457634}</author>
    <author>tc={28d1bb7b-aa91-41ca-aa8f-c7722f3a204f}</author>
    <author>tc={a922e6f0-33f3-4f44-a52e-534ef0f289da}</author>
    <author>tc={98c7c3f2-f2a0-4560-b133-1ee561402b88}</author>
    <author>tc={8c501d1f-8099-4b2b-a65c-857ae69acb62}</author>
    <author>tc={24fb8e89-b327-4049-9f8d-81f15d200f73}</author>
    <author>tc={e79d7831-29d6-443c-a2d9-fdb53b5c9f77}</author>
    <author>tc={d848e1b8-5ae2-4480-9178-c5207a83cd6a}</author>
    <author>tc={5d2c5bca-d267-430b-b083-834a205d55c0}</author>
    <author>tc={0055bf70-c6c5-4cdd-b7ca-e25644d586a7}</author>
    <author>tc={02283619-a4da-49f0-bae3-8328fa7828ed}</author>
    <author>tc={b33696da-82d2-4a40-abff-2e33f3fc1189}</author>
    <author>tc={628ccbee-60bc-4b8e-b5ea-a9617a4bc09b}</author>
    <author>tc={61456cb3-d1d5-474b-9e33-6e383483fff4}</author>
    <author>tc={84c366a9-2447-45ad-9569-087767288266}</author>
    <author>tc={7fb4a46f-bf24-478c-bcfd-02d73ec0ecea}</author>
    <author>tc={0eb98275-61ae-4b3a-a1bc-07f0cf3aac12}</author>
    <author>tc={0b3eaf24-c627-423c-827f-78dd5a2595c3}</author>
    <author>tc={f3e02384-c92c-4d2a-881c-48b33b127f0f}</author>
    <author>tc={9c218120-2c20-4247-852a-0c7bbc073fa5}</author>
    <author>tc={abfd3b98-0f3d-494a-9c9b-11447870de91}</author>
    <author>tc={23e85d14-4776-43ed-b689-4beb332cb264}</author>
    <author>tc={65c173f6-246f-460e-8a0c-59c7038b6fbe}</author>
    <author>tc={9b934e55-3948-473a-ba51-4399067e50eb}</author>
    <author>tc={25142f27-0deb-4bd4-b050-7a3b43ed4ad4}</author>
    <author>tc={82eb72c8-e245-4294-a11e-ad97481cb15a}</author>
    <author>tc={0cfefa3f-6fe1-49d5-9ae4-c9cac409e872}</author>
    <author>tc={9343ba1a-8f25-4030-9732-208eab23adad}</author>
    <author>tc={8097cee8-ee88-4963-a96e-1b392a44faf6}</author>
    <author>tc={3cbeb95c-f939-40e9-944e-6f0a6c50b0c2}</author>
    <author>tc={696411d9-e580-4275-b137-93d6c0bf25e8}</author>
    <author>tc={a070d04a-4a0b-4323-bf58-1d113ed0e530}</author>
    <author>tc={6e6062a8-82b1-4d72-be6f-9a821d5f5148}</author>
    <author>tc={c1a82489-d45e-4c79-9e2c-d86dc3bb7d3d}</author>
    <author>tc={c430f6d7-6c85-4f5d-8254-8e005d5ddb11}</author>
    <author>tc={5b4d19db-ad2a-43e5-8e5a-e17aab801474}</author>
    <author>tc={3f49ba24-35f0-41aa-ab52-fec0d6427a1a}</author>
    <author>tc={d6fa9071-4adc-4895-8045-3c544476767a}</author>
    <author>tc={39bd8f56-1b87-473f-b576-29a9247d1100}</author>
    <author>tc={ff452668-9c1f-432b-b6b8-84dc16a5ae14}</author>
    <author>tc={bc314377-8f43-4c67-a1f2-01e7f431ef98}</author>
    <author>tc={2c309aee-a119-4442-8422-05c587c5afd5}</author>
    <author>tc={a8878a3b-249d-4bef-b49b-0836aa87ca7a}</author>
    <author>tc={5a0bef35-d4dc-40d7-aa66-307db415e41f}</author>
    <author>tc={6d1b1b37-0b80-4765-ba2b-36027e7440cb}</author>
    <author>tc={b61e0f32-0011-4be6-8676-f87fa062d037}</author>
    <author>tc={34264156-f6ad-4148-aaa0-7fa55d2c29d7}</author>
    <author>tc={fd85d2e5-c309-451a-8235-71670bf76861}</author>
    <author>tc={6afb2dad-933a-4f9b-af71-fa14e76be200}</author>
    <author>tc={f5ef2cad-40dc-422a-b806-d89878db7dc1}</author>
    <author>tc={a5c95585-3d6f-489a-866f-2d22d30dae63}</author>
    <author>tc={6a44f05d-01a9-4cbd-9fb0-7ad3d2617f33}</author>
    <author>tc={f23cb8fa-743d-4a77-a65a-8737c281f745}</author>
    <author>tc={cbcf86be-6bca-49ad-be6c-d61f346a89d1}</author>
    <author>tc={5acf452e-c132-4233-b4fb-d97d34007c44}</author>
    <author>tc={ef411216-b539-4afe-9560-0bc9aef5cf26}</author>
    <author>tc={0a8e67c7-e372-42a1-8717-c5e0f9a415a1}</author>
    <author>tc={ce6736b1-cfe7-4f4d-bf48-b6a3f1d896bb}</author>
    <author>tc={fab7427a-ddad-49e3-9c65-16488aac7cf7}</author>
    <author>tc={e281b57c-54b1-4673-9f54-28293838a72a}</author>
    <author>tc={6aea583d-1d7b-47c4-9371-edcf4f3acb74}</author>
    <author>tc={d6a8034c-6fd0-48c3-8b7c-c53771342dab}</author>
    <author>tc={23c95479-10e5-4f79-a079-ca7ccc982006}</author>
    <author>tc={9e1afe71-94e7-4dc5-929e-f950c9647739}</author>
    <author>tc={0f2d6cf6-c793-4a4d-813d-ebe3e857a733}</author>
    <author>tc={ada57ed3-8085-44bc-8546-3a7346229003}</author>
    <author>tc={8b6b639f-671e-4b76-be25-dc047d2534c1}</author>
    <author>tc={16afab80-0447-41ad-81d5-5ac273fd7853}</author>
    <author>tc={a2e6a434-1ecf-4007-9189-28e76ea6034d}</author>
    <author>tc={1fdbc5ad-ee05-4633-93a8-981bd4521f95}</author>
    <author>tc={9705899c-31ca-4941-af92-f800f3e75834}</author>
    <author>tc={e1749af0-e297-49cc-9adb-87e95c933357}</author>
    <author>tc={245425b8-0a8d-41da-bbf6-55497affb80a}</author>
    <author>tc={2b7e12d8-1455-45e7-87d9-2aa4722f6d70}</author>
    <author>tc={fe496b4e-77b6-431f-adf2-07b4d993943d}</author>
    <author>tc={3e6735dd-c24b-4bf0-87ac-6ed85b6bf126}</author>
    <author>tc={6f231823-2e1c-422a-94b3-868f7f7e552f}</author>
    <author>tc={687de3c7-8e96-446f-9805-7e450a838dc5}</author>
    <author>tc={962a35ab-4f1d-4123-8a08-231fdf42446d}</author>
    <author>tc={4ca1bc8a-a837-4279-a2db-b2fea2411c37}</author>
    <author>tc={d94af53c-1954-4c9a-ad59-2f993eeca96b}</author>
    <author>tc={ab7dda9f-5db5-4f1b-b488-860517440485}</author>
    <author>tc={0f818937-5043-4089-a61c-85ef99eb0faa}</author>
    <author>tc={cfce7ec0-c7a6-4194-bb73-be7581e8b189}</author>
    <author>tc={809336c7-b814-422d-b679-bfe64990c53c}</author>
    <author>tc={d9f7c1ca-d4ea-4d6f-80a9-f79eab6390af}</author>
    <author>tc={20d8bac7-d91f-4215-8fae-462a74a1b428}</author>
    <author>tc={00d687f9-81bf-4965-9a34-6ee732d0178d}</author>
    <author>tc={4ca2a25d-6c60-40d3-a9f6-af4c90d2464b}</author>
    <author>tc={19ad60a6-d141-4968-a669-6e3727fa5f27}</author>
    <author>tc={bdd5c684-df15-4cfc-a895-098254a2367e}</author>
    <author>tc={c8f746eb-7d4e-4104-83af-7393538fadad}</author>
    <author>tc={75e0c9ae-e734-4f54-ad26-48d54b577536}</author>
    <author>tc={251b3377-083f-4516-9465-b3ef45b3def0}</author>
    <author>tc={ef0e6b5b-93a6-4c45-9520-dbdfa1083d74}</author>
    <author>tc={1eecca7d-e47f-492d-9abf-c9defe968461}</author>
    <author>tc={bdd3642a-ad22-43e1-aac6-982adc7529f6}</author>
    <author>tc={2d164fb5-c2d0-46b9-ae01-bc502ccecbb7}</author>
    <author>tc={b463027d-d02a-4ee6-bff7-bfe78232f8a1}</author>
    <author>tc={edd8c85d-5b37-48f9-9066-8081ca0755aa}</author>
    <author>tc={f8b6ebb7-002c-45d7-a26c-c27139bdb8c0}</author>
    <author>tc={9e039713-63fd-44c1-b202-075f4658a446}</author>
    <author>tc={cd93822a-6dff-4ae7-aa79-36bc55b64788}</author>
    <author>tc={bcdea6d3-8137-4977-a4e6-096f638155f9}</author>
    <author>tc={10028ce4-77db-4e15-bfaf-cbf2d95bbddd}</author>
    <author>tc={a33c012c-5b92-4462-a356-a0eabbb79bc6}</author>
    <author>tc={4278bfd8-bfd7-4a11-a850-09eb7a8e767f}</author>
    <author>tc={b7023166-4364-4d84-b6d8-0d152266e08b}</author>
    <author>tc={0a791258-dc63-4378-8d71-4f7a42779b9f}</author>
    <author>tc={ffb7128a-8d6a-47c0-ae78-7c3aed79371e}</author>
    <author>tc={cf257377-80bb-4ba0-ae16-34bc3d0e9c47}</author>
    <author>tc={043cdc66-3b8f-4146-a960-22cdaa2aa48b}</author>
    <author>tc={563e551b-c75a-4731-bd32-a888a1e7e256}</author>
    <author>tc={1a0c2051-3643-49d1-a9ae-9703131ae211}</author>
    <author>tc={e1505220-301a-4d16-85d7-332e47ed1ace}</author>
    <author>tc={720b1b25-c577-4320-8ad9-b00c0d4cbf59}</author>
    <author>tc={739c4322-f90b-439f-8bf3-d752c3d52451}</author>
    <author>tc={230ba738-b4db-41aa-8b4a-4cd7c125af27}</author>
    <author>tc={d5cc47dc-06bc-409e-acec-27d5cbb96dd3}</author>
    <author>tc={9b6cea68-0e88-4ad3-9a85-4ae7d9301d1c}</author>
    <author>tc={7a2f3a49-8b83-46ba-9b2c-d5a3ab49e77b}</author>
    <author>tc={e2082e1d-603d-4aa0-8ebc-b2ad1edd9987}</author>
    <author>tc={94b79d69-4eb4-4d34-9cf5-14a786d0941f}</author>
    <author>tc={0b1c3e4e-3f0f-4887-9b0b-83de154412b8}</author>
    <author>tc={e00a5557-4146-41b8-b7e9-7a69e5173d06}</author>
    <author>tc={81b59d41-6fa0-4207-aaa0-200e51bbd1f9}</author>
    <author>tc={986ee0e0-9adc-4e9b-be0c-696398ecd8e9}</author>
    <author>tc={a74220fa-5561-4ea4-96e6-88a5467ba220}</author>
    <author>tc={5f6816d0-c6f4-4cbe-a46b-83653ad3d1d5}</author>
    <author>tc={cb27098c-d089-4533-a8b6-622188329d2b}</author>
    <author>tc={8f2bd6ee-b2cb-435f-ac56-eabab1b08465}</author>
    <author>tc={6278304a-0b62-4914-944f-f95ce93aaf6e}</author>
    <author>tc={d5983d30-82d7-4dcd-aa18-7b51c7fc5ec7}</author>
    <author/>
    <author>tc={e664e815-4f4a-42e3-bd4c-1384cf2d02ce}</author>
    <author>tc={2acc5fad-b341-4982-997c-ffc08b166d14}</author>
    <author>tc={a201c49b-a07f-47e5-b852-1fba75028932}</author>
    <author>tc={918931fe-6525-4c21-a42f-eb7539165af6}</author>
    <author>tc={f628f0c1-cce1-4614-808b-46a325e30471}</author>
    <author>tc={839d43d4-1f90-42af-a438-a12f2dcfdb1c}</author>
    <author>tc={294e8f90-859a-4047-800b-bac8e3f57f36}</author>
    <author>tc={feabe520-b02b-49c3-9e67-7683ada5d1c6}</author>
    <author>tc={14765d5f-90b1-4cc1-a1ad-cdf7e32b2f42}</author>
    <author>tc={598f5256-d885-4c19-90c6-841bfc319c9f}</author>
    <author>tc={981bdfec-f8ee-4b7b-a4aa-df87a0690607}</author>
    <author>tc={56422117-a206-4da8-9116-15e9acd45552}</author>
    <author>tc={b72fb4d2-3ba5-439b-a4ea-4168b1b8ad1f}</author>
    <author>tc={51e394fa-54ce-4688-a524-82e535d96f4a}</author>
    <author>tc={9cc6e3af-485e-4510-a260-83941fd446ed}</author>
    <author>tc={e0fd35e5-c402-4f15-b44d-945aa41cf241}</author>
    <author>tc={01596ce1-8507-45eb-b625-026e18c68a6e}</author>
    <author>tc={225fc872-7a82-4d5a-814a-711308c3c174}</author>
    <author>tc={97c7c147-74a0-4830-adee-785e32bef393}</author>
    <author>tc={de820fde-cb03-4c5b-b9bf-998ae896ba9f}</author>
    <author>tc={9b3a6835-a892-426a-9d18-34becc2d0efe}</author>
    <author>tc={0fc80df5-701c-42ff-a97d-0bca70b70a61}</author>
    <author>tc={481fb9e0-2b63-45ce-81dd-5135e19ad5bd}</author>
    <author>tc={b127c631-b1f2-4482-aaba-8969f1ce9e00}</author>
    <author>tc={8c012c31-a48a-4cdb-bb4b-62ee458fe4d9}</author>
    <author>tc={6b2d389f-7b7b-4b33-a132-93032269ad47}</author>
    <author>tc={17a94e8c-1e19-4b78-ab1d-116dd8ea2a5f}</author>
    <author>tc={1e91f16e-efff-4923-85af-38067117fd1e}</author>
    <author>tc={b6359b5a-ac59-40f1-8433-dd1b5ec4bc98}</author>
    <author>tc={8c94dc2f-8fed-471c-9158-ed7ba6d9899a}</author>
    <author>tc={edd5a3f8-dc76-44c3-96d0-c538137a54d7}</author>
    <author>tc={1a913979-4361-4d57-862c-8641097f797b}</author>
    <author>tc={75257602-9ac7-428f-a43f-a407e35311a5}</author>
    <author>tc={3facb82a-71b5-4567-acf8-2aecbe8856ff}</author>
    <author>tc={e1cb4fc5-ce53-4896-bda3-bcf1231610d2}</author>
    <author>tc={5286ff71-aed0-4c04-9bda-44f4ad528eed}</author>
    <author>tc={ba83d816-e2c5-46bd-9ff0-e7d219c2dae0}</author>
    <author>tc={00d52836-b070-4141-a7e1-3564222792e3}</author>
    <author>tc={64808f95-c660-4381-8b92-6ec88871f66d}</author>
    <author>tc={66603414-8bf6-4baf-834a-e404257d0d02}</author>
    <author>tc={b24f53e1-c993-4c85-8835-b23632c9d603}</author>
    <author>tc={ff262d2a-376f-49d9-ba6b-47e6a6551fc1}</author>
    <author>tc={783de964-fadb-49dd-9ee0-49b9f3ac961f}</author>
    <author>tc={edaf1941-42fa-4780-8574-4d4a94945f48}</author>
  </authors>
  <commentList>
    <comment ref="J155" authorId="0" shapeId="0" xr:uid="{4CAC1D47-2CE6-47B5-BA98-6B8AA7AA28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 llamado 11.08 no contesto, le deje whatsaap</t>
      </text>
    </comment>
    <comment ref="M155" authorId="1" shapeId="0" xr:uid="{FDF9F53E-7CBA-4CE3-8E81-9E2A7FCCDA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11.08 no contesto y se le dejo whatsapp</t>
      </text>
    </comment>
    <comment ref="M157" authorId="2" shapeId="0" xr:uid="{73F10799-8EFE-4170-8AA1-7813F3D88F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realizo llamada 11.08, no respondió</t>
      </text>
    </comment>
    <comment ref="M158" authorId="3" shapeId="0" xr:uid="{8FDB9AF7-803B-4FD0-8C88-E26270A209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Telefono no existe</t>
      </text>
    </comment>
    <comment ref="J170" authorId="4" shapeId="0" xr:uid="{AE0EEA8E-A33E-449D-A69C-F2A50399F2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contacto nuevamente el 20.08 y dice que no esta interesada</t>
      </text>
    </comment>
    <comment ref="J193" authorId="5" shapeId="0" xr:uid="{8B60C1A1-0965-474A-8737-8E597050C8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la primera llamada realizada el día 30.07 ella comento que tenia que hablar con su jefe referente al curso , y que se pondría nuevamente en contacto</t>
      </text>
    </comment>
    <comment ref="N193" authorId="6" shapeId="0" xr:uid="{2331F65B-DFC8-4EF8-AFD9-8EDB5C5844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estoy abordando nuevamente el tema con ella fecha 08.08</t>
      </text>
    </comment>
    <comment ref="I196" authorId="7" shapeId="0" xr:uid="{58133C2F-F707-4187-8C17-B553987053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alumno comenta hoy 08.08 que en un mes retoma el tema del curso , queda agendado para volver a contactar</t>
      </text>
    </comment>
    <comment ref="N196" authorId="8" shapeId="0" xr:uid="{AC7B5101-504A-4914-9649-FE3DCAA9C4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estoy haciando un segundo seguimiento, el alumno esta un poco indeciso fecha 8.08</t>
      </text>
    </comment>
    <comment ref="I205" authorId="9" shapeId="0" xr:uid="{BCB9F629-3DE5-4AAD-B638-CC96B7FA14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Pablo puede cancelar el día 13.08 lo agende para ese día llamar</t>
      </text>
    </comment>
    <comment ref="I206" authorId="10" shapeId="0" xr:uid="{484AC0AC-9B2D-4277-915B-67130D1A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Georgina actualmente tiene problemas de salud , en cuanto se recupere vuelve a contactar</t>
      </text>
    </comment>
    <comment ref="I207" authorId="11" shapeId="0" xr:uid="{60EA3C8A-C8F1-4E51-BF80-F4AF48222D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Comento que va a poder pagar el día 14.08 el día 15.08, quedo agendada para llamar esa fecha</t>
      </text>
    </comment>
    <comment ref="J207" authorId="12" shapeId="0" xr:uid="{351A0C10-3AD4-4B71-8EE1-3D8F7B874C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contesto comento que va a poder pagar el día 14.08 el día 15.08, quedo agendada para llamar esa fecha</t>
      </text>
    </comment>
    <comment ref="J211" authorId="13" shapeId="0" xr:uid="{AD895C5F-8E2F-4DE4-A972-3306974379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han realizado dos llamadas una el 4.08 y otra el 8.08 sin contestar ambas llamadas</t>
      </text>
    </comment>
    <comment ref="N211" authorId="14" shapeId="0" xr:uid="{A10F1092-BD5E-4DEB-A7AB-888EC54B00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06/11</t>
      </text>
    </comment>
    <comment ref="J212" authorId="15" shapeId="0" xr:uid="{6C6F23BA-2FD6-4901-B228-7141BC6A8A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4.08 no atendió porque esta en su trabajo</t>
      </text>
    </comment>
    <comment ref="N212" authorId="16" shapeId="0" xr:uid="{32B1B2E8-3CF9-473E-94B7-6F3FD662EF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hace seguimiento 15.08</t>
      </text>
    </comment>
    <comment ref="J214" authorId="17" shapeId="0" xr:uid="{DE1606C7-4CA1-453E-B686-83430E5A9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Realice llamada el día 4.08 no contesto dijo que estaba en su trabajo. 
Realice segunda llamada 8.08 no se escuchaba bien dijo que por la tormenta, envié whatsapp ofreciendo descuento</t>
      </text>
    </comment>
    <comment ref="J215" authorId="18" shapeId="0" xr:uid="{3B553F9E-1F9A-466E-92E6-922F26DE04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 contesto la llamada dijo que estaba ocupada fecha 7.08 (iba a entrar a terapia) le deje la información al whatsapp</t>
      </text>
    </comment>
    <comment ref="J216" authorId="19" shapeId="0" xr:uid="{69FAD121-682F-4EBB-A420-10FD491282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me contesto el día 7.08, hablamos y le envíe información adicional por whatsapp</t>
      </text>
    </comment>
    <comment ref="N218" authorId="20" shapeId="0" xr:uid="{421C6F26-7F03-47DF-B223-E0FA4F881E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estoy ofreciendo otros cursos por PsikoAprende</t>
      </text>
    </comment>
    <comment ref="J219" authorId="21" shapeId="0" xr:uid="{62BC8DCA-658E-4887-BAB1-6C63FA50C1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fecha: 8.08, pero no pude comunicarme le deje un mensaje</t>
      </text>
    </comment>
    <comment ref="J224" authorId="22" shapeId="0" xr:uid="{24FD9E4E-00F5-48DB-9819-59EB5B9F3E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contesto la llamada que le realice fecha 8.08, sigo con el seguimiento por whatsapp (voice y mensajes)</t>
      </text>
    </comment>
    <comment ref="N224" authorId="23" shapeId="0" xr:uid="{1AA68B23-534A-42D8-909F-CEAF217CAC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hizo seguimiento 8.08 lo esta pensando</t>
      </text>
    </comment>
    <comment ref="Q224" authorId="24" shapeId="0" xr:uid="{D7AD3185-186E-4954-8A01-926D8CFD87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hizo seguimiento 12.08 - 13.08 y 15.08</t>
      </text>
    </comment>
    <comment ref="N225" authorId="25" shapeId="0" xr:uid="{109CFAB2-8826-47B9-9BA2-1FAF7FD1FB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hizo seguimiento lunes 11.08</t>
      </text>
    </comment>
    <comment ref="Q225" authorId="26" shapeId="0" xr:uid="{03CEAF01-EFEF-4083-9592-BE2E258B9C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Tercer seguimiento 15.08</t>
      </text>
    </comment>
    <comment ref="J227" authorId="27" shapeId="0" xr:uid="{5A7040C2-A421-44DB-B72D-9FA3E97EBA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11.08, no atendió, se le dejo whatsapp</t>
      </text>
    </comment>
    <comment ref="L227" authorId="28" shapeId="0" xr:uid="{630DC227-4930-4482-86B2-CBEE18DF3D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nuevamente el 13.08, no contesta</t>
      </text>
    </comment>
    <comment ref="M227" authorId="29" shapeId="0" xr:uid="{BB4BF76B-21B8-4465-AAB8-FD3B66D27E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nuevamente 13.08 sin respuesta</t>
      </text>
    </comment>
    <comment ref="Q227" authorId="30" shapeId="0" xr:uid="{FED38AFE-3789-4594-BE37-461162ED03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06/11</t>
      </text>
    </comment>
    <comment ref="J229" authorId="31" shapeId="0" xr:uid="{E3E97724-B7FB-444E-BD05-828A70E3F2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primera llamada el 11.08, sin responder le deje whatsapp</t>
      </text>
    </comment>
    <comment ref="M229" authorId="32" shapeId="0" xr:uid="{B7A87735-7E11-4D7E-BE32-3ACBB44848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nuevamente, sin contestar</t>
      </text>
    </comment>
    <comment ref="I232" authorId="33" shapeId="0" xr:uid="{A80213B3-02BF-4981-8816-53FD10214C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Ella comenta que si esta interesada pero que aun no lo podrá tomar, se lo ofreció beca adicional, sin respuesta el día 12.08</t>
      </text>
    </comment>
    <comment ref="J233" authorId="34" shapeId="0" xr:uid="{D473CE40-C1D1-4228-B044-35F606155D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realizo primera llamada fecha 12.08, respondió y colgó</t>
      </text>
    </comment>
    <comment ref="L233" authorId="35" shapeId="0" xr:uid="{A9C2777E-CA89-4355-AD8D-10C642190C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13.08, sin contestar (el teléfono ni repica )</t>
      </text>
    </comment>
    <comment ref="M233" authorId="36" shapeId="0" xr:uid="{C1E907E5-4E7D-48CC-8907-D22CC73AE6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13.08, sin contestar (el teléfono ni repica )</t>
      </text>
    </comment>
    <comment ref="J234" authorId="37" shapeId="0" xr:uid="{4C8268F1-0726-434C-9180-9AE9CBA06A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realizo primera llamada 12.08, respondió y colgó, se le dejo mensaje</t>
      </text>
    </comment>
    <comment ref="L234" authorId="38" shapeId="0" xr:uid="{853CB86F-EF09-4520-B25B-B85BF2EBF8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nuevamente 13.08 ya que no ha dado respuesta, pero la persona no responde</t>
      </text>
    </comment>
    <comment ref="M234" authorId="39" shapeId="0" xr:uid="{6E2DF324-CA1C-4553-BCF9-8565EAA4C4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nuevamente 13.08 ya que no ha dado respuesta, pero la persona no responde</t>
      </text>
    </comment>
    <comment ref="N235" authorId="40" shapeId="0" xr:uid="{820430E4-E45E-4BA1-A98E-5EF0A0D60C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14.08</t>
      </text>
    </comment>
    <comment ref="J236" authorId="41" shapeId="0" xr:uid="{BE0BED7B-0085-47A5-ADC8-CF54820F16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realizo la primera llamada fecha 12.08 sin responder (me comenta por whatsapp que no puede atender llamadas)</t>
      </text>
    </comment>
    <comment ref="N236" authorId="42" shapeId="0" xr:uid="{0CD7EEB9-B6DE-478D-8D08-4F087B590E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14.08, me comenta que esta esperando autorización y me avisa</t>
      </text>
    </comment>
    <comment ref="M240" authorId="43" shapeId="0" xr:uid="{ECF6B2A6-9C43-40B3-BAE2-859F6629F6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15.08 sin responder</t>
      </text>
    </comment>
    <comment ref="J241" authorId="44" shapeId="0" xr:uid="{26679580-96A9-4AE4-808E-50781CEEE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14.08, sin responde</t>
      </text>
    </comment>
    <comment ref="J243" authorId="45" shapeId="0" xr:uid="{E3B9A0EB-AD99-4CC7-9C5F-80A5432520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realizo llamada 14.08 pero esta apagado o fuera de cobertura</t>
      </text>
    </comment>
    <comment ref="I244" authorId="46" shapeId="0" xr:uid="{4EA2E119-D9EE-474F-A7A1-918E6808BB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Quedamos pendiente por el pago para el dia 22.08</t>
      </text>
    </comment>
    <comment ref="K245" authorId="47" shapeId="0" xr:uid="{765707BA-CB7B-469B-BFCF-65B6A43FC4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una persona complicada quiere información exacta de los docentes , le deje un mensaje de voz el día viernes 15.08 y no lo respondió</t>
      </text>
    </comment>
    <comment ref="J250" authorId="48" shapeId="0" xr:uid="{27628609-9C7E-459D-B8A5-117AE7592D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18-08, sin contestar</t>
      </text>
    </comment>
    <comment ref="J251" authorId="49" shapeId="0" xr:uid="{C02F515E-A3FC-4E3E-AEBC-8FCE3C3873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realizo la primera llamada 19.08 como segundo seguimiento, sin responder</t>
      </text>
    </comment>
    <comment ref="J253" authorId="50" shapeId="0" xr:uid="{8B608F52-81E3-43F9-86BD-77A8A5A086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19-08 comenta que esta saliendo de viaje, que la contacte la próxima semana</t>
      </text>
    </comment>
    <comment ref="I254" authorId="51" shapeId="0" xr:uid="{114D78A9-A2B2-46D7-9F80-E37B02031E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Ella comenta que no lo quiere hacer aun porque esta haciendo otros cursos, y quiere terminar los otros cursos primero, ultimo contacto con ella 19.08</t>
      </text>
    </comment>
    <comment ref="J255" authorId="52" shapeId="0" xr:uid="{4CFC7D89-B7DA-4197-943B-8697AAB520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19.08 a las 18 en españa, sin responder</t>
      </text>
    </comment>
    <comment ref="J256" authorId="53" shapeId="0" xr:uid="{8D92DCB0-6602-4FF4-B49F-EF2435F769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 llamado fecha 19.08 envía a buzón</t>
      </text>
    </comment>
    <comment ref="M256" authorId="54" shapeId="0" xr:uid="{956C56C0-461B-47AA-B858-FFE000B47B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Segunda llamada hoy 20.08 sin contestar</t>
      </text>
    </comment>
    <comment ref="N256" authorId="55" shapeId="0" xr:uid="{B7687521-3038-4F97-A11B-94AB6F3AF8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06.11</t>
      </text>
    </comment>
    <comment ref="J257" authorId="56" shapeId="0" xr:uid="{1D31AB69-ABF0-445F-AD3E-45D513D634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20.08, sin responder</t>
      </text>
    </comment>
    <comment ref="J258" authorId="57" shapeId="0" xr:uid="{53D6F8CC-8A11-439E-AF2D-6741F1CD3F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realizar el primer pago el día viernes 22 de agosto</t>
      </text>
    </comment>
    <comment ref="J259" authorId="58" shapeId="0" xr:uid="{3FFC4DB9-F919-4B2D-953C-59E296494F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20.08 pero no atendió</t>
      </text>
    </comment>
    <comment ref="J260" authorId="59" shapeId="0" xr:uid="{7098FDB5-BA9C-4871-B6B3-1ADB2D9A95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he llamado 20.08 sin responder</t>
      </text>
    </comment>
    <comment ref="J261" authorId="60" shapeId="0" xr:uid="{3A80A785-31A4-4F70-ADAA-087256C25F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20.08 comenta que está en un reunión</t>
      </text>
    </comment>
    <comment ref="N261" authorId="61" shapeId="0" xr:uid="{2148113A-393D-43A3-B639-4A0C877C36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06/11</t>
      </text>
    </comment>
    <comment ref="N262" authorId="62" shapeId="0" xr:uid="{ED8D4A27-6C01-40CC-B0EB-1EB2B1E3FE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esta haciendo nuevo seguimiento 25.08</t>
      </text>
    </comment>
    <comment ref="J263" authorId="63" shapeId="0" xr:uid="{418939E2-853F-42C1-847C-158B74D854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20.08, sin responder</t>
      </text>
    </comment>
    <comment ref="N264" authorId="64" shapeId="0" xr:uid="{9A6B0C7A-15C3-4418-A95C-670071E399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esta haciendo nuevamente seguimiento 25.08</t>
      </text>
    </comment>
    <comment ref="J265" authorId="65" shapeId="0" xr:uid="{171945C6-0F6C-4718-9EC4-A26435378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el 22.08, sin responder</t>
      </text>
    </comment>
    <comment ref="N266" authorId="66" shapeId="0" xr:uid="{BF44A8F9-2E29-4DCB-985B-2A83D4E3A9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hace seguimiento nuevamente 25.08</t>
      </text>
    </comment>
    <comment ref="K267" authorId="67" shapeId="0" xr:uid="{76578872-8B56-4037-84D9-27B374AE6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dejo mensaje con la presentación del curso 22.08, sin responder</t>
      </text>
    </comment>
    <comment ref="L267" authorId="68" shapeId="0" xr:uid="{7945C7C1-409A-47BC-B49D-2FEED6E88B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envié un correo ya que el número que coloco dice que no existe cuando trato de llamar</t>
      </text>
    </comment>
    <comment ref="J270" authorId="69" shapeId="0" xr:uid="{70727C79-B2D8-4D47-A160-234F19B7EE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22.08n sin responder</t>
      </text>
    </comment>
    <comment ref="N273" authorId="70" shapeId="0" xr:uid="{3E556CED-88BF-44A0-AC1A-3671FB041C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26.08</t>
      </text>
    </comment>
    <comment ref="Q273" authorId="71" shapeId="0" xr:uid="{FC2EAC7C-2E4A-4C5F-98D4-C851C66B87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escribió nuevamente el 28.08 (nunca ha dado
respuesta)</t>
      </text>
    </comment>
    <comment ref="I274" authorId="72" shapeId="0" xr:uid="{E68B11DC-1A60-4372-921B-B4C4222E5C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Ella quiere que sean mas horas de videos</t>
      </text>
    </comment>
    <comment ref="J274" authorId="73" shapeId="0" xr:uid="{A82BD22C-5DF4-4D0A-A4F8-484D668244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25.08, sin responder</t>
      </text>
    </comment>
    <comment ref="N274" authorId="74" shapeId="0" xr:uid="{1C48ACED-84A0-4DF3-B9C9-03D46D23C4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26.08</t>
      </text>
    </comment>
    <comment ref="J275" authorId="75" shapeId="0" xr:uid="{9A896CC6-9D98-4112-9636-A0E317E4C9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25.08, sin responder</t>
      </text>
    </comment>
    <comment ref="N276" authorId="76" shapeId="0" xr:uid="{0BF3338A-E7C8-4FB9-AA8B-75B694B7DB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27.08</t>
      </text>
    </comment>
    <comment ref="N278" authorId="77" shapeId="0" xr:uid="{284F589D-2AAF-45DA-AE6D-89AAED96A6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28.08</t>
      </text>
    </comment>
    <comment ref="N279" authorId="78" shapeId="0" xr:uid="{D86D4FC8-E2B4-4B78-8892-23D8A86C86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28.08</t>
      </text>
    </comment>
    <comment ref="N280" authorId="79" shapeId="0" xr:uid="{3B12EB46-0B8F-485E-9C9F-E4706F678F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29.08</t>
      </text>
    </comment>
    <comment ref="J282" authorId="80" shapeId="0" xr:uid="{743ED1BF-63A2-4213-917D-ED89C18D77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Hablamos bastante bien por teléfono</t>
      </text>
    </comment>
    <comment ref="N283" authorId="81" shapeId="0" xr:uid="{5E66FAA1-A805-4E58-84C8-718785ED1D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29.08</t>
      </text>
    </comment>
    <comment ref="N284" authorId="82" shapeId="0" xr:uid="{E4DD7A49-E18B-4517-B9AE-32672D3B3D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29.08</t>
      </text>
    </comment>
    <comment ref="K285" authorId="83" shapeId="0" xr:uid="{7B1B3527-4B4F-4394-BF97-4424741B28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Estamos conversando desde el teléfono de la hija</t>
      </text>
    </comment>
    <comment ref="J286" authorId="84" shapeId="0" xr:uid="{BA4095B3-6574-4371-A254-BDC431DE28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Conversamos por teléfono, todo bien</t>
      </text>
    </comment>
    <comment ref="I288" authorId="85" shapeId="0" xr:uid="{34CC8325-EACB-463B-97DF-8434E7D07E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Ella comenta que se matricula el viernes 5.09</t>
      </text>
    </comment>
    <comment ref="I291" authorId="86" shapeId="0" xr:uid="{EAABB69C-0AF6-4340-BF20-95FDF4D9E7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Ella comenta que paga el miércoles 3.09</t>
      </text>
    </comment>
    <comment ref="N292" authorId="87" shapeId="0" xr:uid="{5FA24DC5-6581-42D9-B417-0FDA8E0E9C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realizo segundo seguimiento el 3.09, no dio respuesta</t>
      </text>
    </comment>
    <comment ref="L293" authorId="88" shapeId="0" xr:uid="{4D2C3CB6-0E12-422E-AF74-74BA97078A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envía correo ya que el número de teléfono no existe</t>
      </text>
    </comment>
    <comment ref="N294" authorId="89" shapeId="0" xr:uid="{F3C9C2BC-A7D3-48A0-9920-328E0C81A6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realizo segundo seguimiento el 04.09, no dio respuesta</t>
      </text>
    </comment>
    <comment ref="N295" authorId="90" shapeId="0" xr:uid="{CDEF4103-87D6-412D-9C28-4F2A21F5F7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2.09</t>
      </text>
    </comment>
    <comment ref="L296" authorId="91" shapeId="0" xr:uid="{0BCCF23F-C47D-4A04-A7A5-0EBC293506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envío toda la información por correo así como el lo solicito</t>
      </text>
    </comment>
    <comment ref="N296" authorId="92" shapeId="0" xr:uid="{52C712DC-53CC-456B-B543-503D0472FC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9.09</t>
      </text>
    </comment>
    <comment ref="N297" authorId="93" shapeId="0" xr:uid="{B3C69976-FC08-430D-BE09-9FEF737890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el 02.09, no dio respuesta</t>
      </text>
    </comment>
    <comment ref="N299" authorId="94" shapeId="0" xr:uid="{14AD2872-F28A-4966-844F-BEC741E91A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Hacemos seguimiento nuevamente el día 18.09</t>
      </text>
    </comment>
    <comment ref="L300" authorId="95" shapeId="0" xr:uid="{B1CFF03D-B496-4887-ACF9-FF599A12C8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por correo, ya que no ha proporcionado su número, (se lo pedí, sin embargo no lo ha proporcionado )</t>
      </text>
    </comment>
    <comment ref="L301" authorId="96" shapeId="0" xr:uid="{FBCEE2D7-6501-401B-B259-53E56E423A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por correo, no ha proporcionado su número</t>
      </text>
    </comment>
    <comment ref="I302" authorId="97" shapeId="0" xr:uid="{523DF8F2-5BF3-49B8-9EEE-96E2E47573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Comenta que es costoso, le hice descuentos, pero no dio respuesta</t>
      </text>
    </comment>
    <comment ref="L302" authorId="98" shapeId="0" xr:uid="{AFC60579-BB0F-4B7B-BB26-DDC8B1EBA7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envíe correo ya que el número de teléfono esta mal</t>
      </text>
    </comment>
    <comment ref="J303" authorId="99" shapeId="0" xr:uid="{0876E4C2-DE5F-41FE-9F44-B2E301E99B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pero no dio respuesta</t>
      </text>
    </comment>
    <comment ref="N303" authorId="100" shapeId="0" xr:uid="{DD3F58D6-6370-4516-889B-C67F28AA4D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hizo tercer seguimiento el 18.09</t>
      </text>
    </comment>
    <comment ref="J305" authorId="101" shapeId="0" xr:uid="{33D57C8A-E661-4568-9C86-7E55A0BD07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realice una llamada 4.09 y despejamos todas las dudas</t>
      </text>
    </comment>
    <comment ref="N305" authorId="102" shapeId="0" xr:uid="{E2F804FF-9D03-472C-8AA8-7B51666F2A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seguimiento 09.09</t>
      </text>
    </comment>
    <comment ref="L306" authorId="103" shapeId="0" xr:uid="{34B1DE73-BBA8-46A0-A75F-F85994EF0E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envió información al correo ( por petición de la alumna)</t>
      </text>
    </comment>
    <comment ref="N307" authorId="104" shapeId="0" xr:uid="{076D87F0-A0D2-43D3-A4C3-A5E2CA6B17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hizo seguimiento nuevamente 09.09, sin respuesta</t>
      </text>
    </comment>
    <comment ref="N308" authorId="105" shapeId="0" xr:uid="{9189343B-51E5-4802-B997-A6AD5B1808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hace nuevamente seguimiento 9.10</t>
      </text>
    </comment>
    <comment ref="N309" authorId="106" shapeId="0" xr:uid="{1A281496-A32D-4BAE-BB50-F7E0AFABBA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Nuevamente se le hace seguimiento 9.10</t>
      </text>
    </comment>
    <comment ref="J310" authorId="107" shapeId="0" xr:uid="{D23BCC66-26D1-45BB-B527-B279E79F2C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5.09. En el momento que la llame me dijo que estaba ocupada</t>
      </text>
    </comment>
    <comment ref="L311" authorId="108" shapeId="0" xr:uid="{2E588F4C-9857-4A4B-B4CF-ECD00C7003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por correo, ya que no coloco su número</t>
      </text>
    </comment>
    <comment ref="J312" authorId="109" shapeId="0" xr:uid="{60B6FF30-7806-4462-94F2-23F092EA0C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hice llamada 5.09, no dio respuesta</t>
      </text>
    </comment>
    <comment ref="N312" authorId="110" shapeId="0" xr:uid="{9468926E-8360-4A16-9C4A-9D580F63A9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Nuevamente seguimiento 18.09</t>
      </text>
    </comment>
    <comment ref="J314" authorId="111" shapeId="0" xr:uid="{DB8118B1-4E53-40E4-98F0-102DDCBE1F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08.09 sin respuesta</t>
      </text>
    </comment>
    <comment ref="N316" authorId="112" shapeId="0" xr:uid="{14A27F9E-E9B8-40B9-B5EA-69FCFB6AC4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09.09</t>
      </text>
    </comment>
    <comment ref="N317" authorId="113" shapeId="0" xr:uid="{A0C7737C-9816-42B8-A516-C5A6F7604D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06/11</t>
      </text>
    </comment>
    <comment ref="L320" authorId="114" shapeId="0" xr:uid="{FD14DE8D-E611-4BF7-BFB5-D80BE070B7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por correo ya que no pude dar con el número</t>
      </text>
    </comment>
    <comment ref="I322" authorId="115" shapeId="0" xr:uid="{41743835-B267-4F46-A88A-10894BCD06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número no existe</t>
      </text>
    </comment>
    <comment ref="L323" authorId="116" shapeId="0" xr:uid="{DAE3877E-0263-481D-92D9-578E23AEC4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por correo, ya que no he dado con su número</t>
      </text>
    </comment>
    <comment ref="N324" authorId="117" shapeId="0" xr:uid="{831ACE24-2A26-4205-A286-4939D1DE32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10.09</t>
      </text>
    </comment>
    <comment ref="N328" authorId="118" shapeId="0" xr:uid="{57B0A0CF-7C53-4E60-B05C-E94E850779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06/11</t>
      </text>
    </comment>
    <comment ref="J329" authorId="119" shapeId="0" xr:uid="{EA4F7F24-0424-4815-A340-BAF9CC2B92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Hablamos por teléfono y despejamos dudas</t>
      </text>
    </comment>
    <comment ref="J330" authorId="120" shapeId="0" xr:uid="{60A685B7-D70A-48FC-B0A4-E391B172FD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12/12. sin respuesta</t>
      </text>
    </comment>
    <comment ref="N330" authorId="121" shapeId="0" xr:uid="{6797A107-19AF-41B4-B0E9-14AA345DF0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Hacemos seguimiento nuevamente 19.09</t>
      </text>
    </comment>
    <comment ref="I334" authorId="122" shapeId="0" xr:uid="{7155E15E-58E0-4371-AD96-38FF09B95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Dice que se quiere matricular en Enero</t>
      </text>
    </comment>
    <comment ref="N335" authorId="123" shapeId="0" xr:uid="{6AC27252-1A1C-477D-8B01-A720E8054C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evaluando si su empresa le paga el 75%</t>
      </text>
    </comment>
    <comment ref="N339" authorId="124" shapeId="0" xr:uid="{F34010B1-5883-4DAF-85FF-26A84F9DCF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06/11</t>
      </text>
    </comment>
    <comment ref="J342" authorId="125" shapeId="0" xr:uid="{94492E0E-340A-4E79-A8BF-C828957F0C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15.09, sin contestar</t>
      </text>
    </comment>
    <comment ref="J344" authorId="126" shapeId="0" xr:uid="{5F1C12F4-A396-42AF-9778-AC1A13367E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15.09, sin contestar</t>
      </text>
    </comment>
    <comment ref="I350" authorId="127" shapeId="0" xr:uid="{4C1BB10B-A4A7-4035-916B-D25D130D1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Dice que es muy costoso y se le ofrece hasta el 50%</t>
      </text>
    </comment>
    <comment ref="J355" authorId="128" shapeId="0" xr:uid="{3F92862A-52AC-4688-A7C9-850A4E27A1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16.09n sin respuesta</t>
      </text>
    </comment>
    <comment ref="L355" authorId="129" shapeId="0" xr:uid="{3D59831E-58EF-4722-BAF6-7A23E6E8A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responde al correo ya que el numero de teléfono no tiene whatsapp</t>
      </text>
    </comment>
    <comment ref="J357" authorId="130" shapeId="0" xr:uid="{1A69F08F-DE1B-403A-A66B-F9FDE93A97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16.09, sin respuesta</t>
      </text>
    </comment>
    <comment ref="N365" authorId="131" shapeId="0" xr:uid="{BEAA90A7-3E67-4948-98C5-BDEA6BE52D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06/11</t>
      </text>
    </comment>
    <comment ref="I367" authorId="132" shapeId="0" xr:uid="{2EB65C3F-2896-47C4-8468-62AC3DE04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esta atendiendo desde el 12 de agosto</t>
      </text>
    </comment>
    <comment ref="K368" authorId="133" shapeId="0" xr:uid="{EB31F0C5-CD6A-45E6-99C7-A428B2A882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envié el enlace de Cetlat</t>
      </text>
    </comment>
    <comment ref="N369" authorId="134" shapeId="0" xr:uid="{2B17F158-9BD2-43E7-A0C7-CF66D9E102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día 24.09 Carlos le ha enviado la propuesta de Cetlat, sin responder por parte de ella</t>
      </text>
    </comment>
    <comment ref="N372" authorId="135" shapeId="0" xr:uid="{2AC45317-4AA6-40E1-824E-E160D59562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24.09</t>
      </text>
    </comment>
    <comment ref="N373" authorId="136" shapeId="0" xr:uid="{C2E2D256-B1E5-451D-B188-960886157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Hacemos seguimiento nuevamente 25.09</t>
      </text>
    </comment>
    <comment ref="N375" authorId="137" shapeId="0" xr:uid="{C214C2C8-58E3-41CE-A679-99D3EEEB73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Hacemos nuevamente seguimiento 25.09</t>
      </text>
    </comment>
    <comment ref="K376" authorId="138" shapeId="0" xr:uid="{93A1B617-BA4F-4399-9C24-82BF5EADCB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esta enviando solicitud por Cetlat</t>
      </text>
    </comment>
    <comment ref="N376" authorId="139" shapeId="0" xr:uid="{4CEAF30A-9EC1-4B9F-90F1-4FF28A360D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hace seguimiento 24.09 esta pendiente por enviar documentos de CETLAT</t>
      </text>
    </comment>
    <comment ref="J377" authorId="140" shapeId="0" xr:uid="{E81B3199-8AC7-4A79-AE01-1B78B88C41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23.09</t>
      </text>
    </comment>
    <comment ref="N378" authorId="141" shapeId="0" xr:uid="{2F71461A-1474-478A-B17F-B71F988B1B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seguimiento 25.09, esta tramitando todo por CETLAT</t>
      </text>
    </comment>
    <comment ref="N379" authorId="142" shapeId="0" xr:uid="{CBDE3DB7-4E9B-463B-9FEF-2ADE3EFC65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23.09</t>
      </text>
    </comment>
    <comment ref="J381" authorId="143" shapeId="0" xr:uid="{08C2E782-3EAF-4B83-AA29-60A136C991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pero el número de teléfono no existe</t>
      </text>
    </comment>
    <comment ref="L381" authorId="144" shapeId="0" xr:uid="{D6084050-9236-44CB-BF23-80ECAF4B43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envía correo ya que el numero proporcionado no existe</t>
      </text>
    </comment>
    <comment ref="N382" authorId="145" shapeId="0" xr:uid="{13601234-992E-46FD-AECC-35A631ACAB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25.09</t>
      </text>
    </comment>
    <comment ref="J385" authorId="146" shapeId="0" xr:uid="{F9DF4B61-A505-4ECE-90B7-FB0249463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ha llamado y sale la contestadora</t>
      </text>
    </comment>
    <comment ref="N387" authorId="147" shapeId="0" xr:uid="{195F29DC-5FF4-4793-AB8C-9B5FE7AAC8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06/11</t>
      </text>
    </comment>
    <comment ref="I389" authorId="148" shapeId="0" xr:uid="{9DF6EC65-1608-4E81-A77C-F9886C108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Comenta que es costoso para ella, se le ofrecio Cetlat pero no dio respuesta</t>
      </text>
    </comment>
    <comment ref="N400" authorId="149" shapeId="0" xr:uid="{4863712D-B892-4985-8DDB-FE5077EFFC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realiza seguimiento 10.10</t>
      </text>
    </comment>
    <comment ref="J403" authorId="150" shapeId="0" xr:uid="{28A500CF-A2ED-4A15-A12B-EFE296004C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Desea sesiones con psicóloga, le facilite el número de Mireia</t>
      </text>
    </comment>
    <comment ref="M405" authorId="151" shapeId="0" xr:uid="{0EE64E04-7F49-4062-A4FF-92BDCF57BC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Me notifico que por los momentos pospondrá la matriculación</t>
      </text>
    </comment>
    <comment ref="J406" authorId="152" shapeId="0" xr:uid="{944D80FC-A6AA-4819-9797-CBB74CAD2C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Hablamos en dos oportunidades por llamada</t>
      </text>
    </comment>
    <comment ref="L409" authorId="153" shapeId="0" xr:uid="{1D59D84C-EA4C-4965-AAB8-DD89CDF67A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contacto por correo ya que el número de teléfono no existe</t>
      </text>
    </comment>
    <comment ref="N409" authorId="154" shapeId="0" xr:uid="{48ED4C06-1E02-493D-8176-F1455DADE9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06/11</t>
      </text>
    </comment>
    <comment ref="J411" authorId="155" shapeId="0" xr:uid="{7955404C-3BFE-405A-B181-DA6B81B7EC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30.09</t>
      </text>
    </comment>
    <comment ref="N411" authorId="156" shapeId="0" xr:uid="{B6124D1A-97A9-4C88-82EA-9A344308A2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06/11. Ofrecí CETLAT</t>
      </text>
    </comment>
    <comment ref="J415" authorId="157" shapeId="0" xr:uid="{F2C0DF05-E375-419B-B9E2-606FEFF168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Hablamos por teléfono, pero ella quiere clases en vivo, sin embargo se le ofreció beca</t>
      </text>
    </comment>
    <comment ref="K415" authorId="158" shapeId="0" xr:uid="{A989C465-4B43-4C7F-B3AB-4B2D86BDA2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Aunque quiere clases en vivo esta haciendo lo de cetlat, para que que tanto de precio le baja el diplomado</t>
      </text>
    </comment>
    <comment ref="N416" authorId="159" shapeId="0" xr:uid="{A11E3BA9-C974-4172-BDD3-A18C0170C1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seguimiento 13.10</t>
      </text>
    </comment>
    <comment ref="J418" authorId="160" shapeId="0" xr:uid="{23AC5760-4E96-473B-B73C-0419C7560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el 13.10 no da respuesta</t>
      </text>
    </comment>
    <comment ref="J420" authorId="161" shapeId="0" xr:uid="{07F55F8A-7E9D-4ED8-9E28-30B6775CCB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el 13.10 como 3er seguimiento y colgó la llamada</t>
      </text>
    </comment>
    <comment ref="N420" authorId="162" shapeId="0" xr:uid="{C06EBDE0-2850-47B7-8408-2104670B6A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2.10</t>
      </text>
    </comment>
    <comment ref="O420" authorId="163" shapeId="0" xr:uid="{17001867-4849-4E6B-A199-03B3D75D47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el 24.10. NO contesto</t>
      </text>
    </comment>
    <comment ref="P420" authorId="164" shapeId="0" xr:uid="{20A50C11-5735-4D3E-A702-FCA7841C09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NO contesto</t>
      </text>
    </comment>
    <comment ref="Q420" authorId="165" shapeId="0" xr:uid="{05AC2458-D4AA-44FA-8653-A587F559FF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seguimiento 24.10. Le ofrecí cupón del 30% de descuento</t>
      </text>
    </comment>
    <comment ref="J423" authorId="166" shapeId="0" xr:uid="{AA8FDB2E-6BDB-4119-A6A8-47B8634487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Desea solo material para realizar test de credibilidad del testimonio, ya que va a colaborar con un bufete de abogados</t>
      </text>
    </comment>
    <comment ref="M424" authorId="167" shapeId="0" xr:uid="{BA32C450-643E-436B-801D-DC4E39D8F0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24.10. No contesto</t>
      </text>
    </comment>
    <comment ref="N424" authorId="168" shapeId="0" xr:uid="{6CC6C29B-5ADF-434A-959E-9DA89AD277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ofreciendo 50% de descuento por su curso</t>
      </text>
    </comment>
    <comment ref="M426" authorId="169" shapeId="0" xr:uid="{A7BF19C2-04F1-42D1-A98D-4C9045EE2C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nuevamente 13.10 , sin respuesta</t>
      </text>
    </comment>
    <comment ref="N426" authorId="170" shapeId="0" xr:uid="{0574B02A-8DA0-419D-A224-6ADB25F37C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no contestó</t>
      </text>
    </comment>
    <comment ref="P426" authorId="171" shapeId="0" xr:uid="{782DE8F1-7546-4E2F-8606-F86B1D3537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No contesto</t>
      </text>
    </comment>
    <comment ref="Q426" authorId="172" shapeId="0" xr:uid="{5B19AFAB-9360-4DE3-9D97-F6F16D92A1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oreciendo 50% de descuento. 24.10</t>
      </text>
    </comment>
    <comment ref="N427" authorId="173" shapeId="0" xr:uid="{EBD133F1-E5D2-4571-9F61-70DB9B57D5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Nuevamente seguimiento 10.10 y comenta que no se decide por el curso, le pregunte que si me podía decir el motivo o sugerencia que nos pueda dar para que se decida pero no dio un motivo especifico.</t>
      </text>
    </comment>
    <comment ref="Q427" authorId="174" shapeId="0" xr:uid="{416A768C-08FB-4A94-8047-BD88059ECF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Tercer seguimiento 13.10</t>
      </text>
    </comment>
    <comment ref="M428" authorId="175" shapeId="0" xr:uid="{D3103C80-7297-40CB-8779-4399CAD9E8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Dio respuesta en la segunda llamada el día 10.10</t>
      </text>
    </comment>
    <comment ref="N428" authorId="176" shapeId="0" xr:uid="{E9306723-F923-4589-9535-35304F87F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envía información del curso</t>
      </text>
    </comment>
    <comment ref="P428" authorId="177" shapeId="0" xr:uid="{8F6181E8-CFF0-46A2-A06F-9F0AAAA86E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NO contesto</t>
      </text>
    </comment>
    <comment ref="Q428" authorId="178" shapeId="0" xr:uid="{1B4CBFC7-01B4-4C51-87E8-377BC28C0F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3er seguimiento. le ofrecí 50% de descuento. 24.10</t>
      </text>
    </comment>
    <comment ref="N430" authorId="179" shapeId="0" xr:uid="{5E9FEE31-7951-4F45-94E2-9F4699ED91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13.10</t>
      </text>
    </comment>
    <comment ref="N431" authorId="180" shapeId="0" xr:uid="{D4AAD72E-5F91-4283-BB24-3B66B14E75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13.10 ( es la misma persona de arriba)</t>
      </text>
    </comment>
    <comment ref="J432" authorId="181" shapeId="0" xr:uid="{9B9702D0-7B6A-48CD-868B-F617325ECB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8.10 y despejamos dudas</t>
      </text>
    </comment>
    <comment ref="N432" authorId="182" shapeId="0" xr:uid="{3AC76A78-A3A6-4895-833D-0EA906323B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por mensaje 13.10</t>
      </text>
    </comment>
    <comment ref="P432" authorId="183" shapeId="0" xr:uid="{7E2E6CB0-955F-4CD7-8E09-34B618C93E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24.10. esta muy interesada, me dará respuesta en la tarde. ofrecí descuento del 50%</t>
      </text>
    </comment>
    <comment ref="N433" authorId="184" shapeId="0" xr:uid="{B6D5E00D-1DF8-4814-A610-13B1F746E1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segundo seguimiento realizado el día miércoles 8.10 me dijo que no tenia ninguna duda referente al curso, que en todo caso después me contacta</t>
      </text>
    </comment>
    <comment ref="M434" authorId="185" shapeId="0" xr:uid="{0B3ED283-C8B7-4B76-9C5D-AED29838A5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llame en el segundo seguimiento y no dio respuesta llamada 13.10</t>
      </text>
    </comment>
    <comment ref="M435" authorId="186" shapeId="0" xr:uid="{F121B310-69C0-4C4A-804D-8376FEEA42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 dijo simplemente que el no esta interesado y no quiere información del curso</t>
      </text>
    </comment>
    <comment ref="J438" authorId="187" shapeId="0" xr:uid="{4FF7D20B-763D-426C-B73C-31A2A29C37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9.10, no dio respuesta</t>
      </text>
    </comment>
    <comment ref="N438" authorId="188" shapeId="0" xr:uid="{ADB651A5-80E7-4F21-958F-1AA8DE841F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dejo mensaje 9-10 segundo seguimiento</t>
      </text>
    </comment>
    <comment ref="Q438" authorId="189" shapeId="0" xr:uid="{F7822DF6-E042-45D7-8F60-2025E7677D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Tercer seguimiento, el 13.10</t>
      </text>
    </comment>
    <comment ref="J440" authorId="190" shapeId="0" xr:uid="{DA473277-BCEB-4505-9093-4A4CD263F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9.10, sin respuesta</t>
      </text>
    </comment>
    <comment ref="J441" authorId="191" shapeId="0" xr:uid="{2C0FB11A-5317-495F-AFE4-8CFEC8E8FF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pero sin poder comunicarme, salió el teléfono ocupado</t>
      </text>
    </comment>
    <comment ref="M441" authorId="192" shapeId="0" xr:uid="{4602F382-3DF6-4D39-B168-1785DC909F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Lame 24.10. No contesto</t>
      </text>
    </comment>
    <comment ref="N441" authorId="193" shapeId="0" xr:uid="{516FEC53-8C0F-4AB0-9433-71B730149F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mensaje, ofrecí 50% de descuento. 24.10</t>
      </text>
    </comment>
    <comment ref="M442" authorId="194" shapeId="0" xr:uid="{AC88DE3D-2677-4DF8-B747-9BF020A236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me solicito la información ya que el curso lo pagara la empresa y depende de ellos el momento para cancelar</t>
      </text>
    </comment>
    <comment ref="N442" authorId="195" shapeId="0" xr:uid="{221DAFFD-8545-41E6-8086-287ECD806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deje la información para que pueda facilitársela a su empresa. 24.10</t>
      </text>
    </comment>
    <comment ref="J443" authorId="196" shapeId="0" xr:uid="{46A4E66A-3C76-495B-B232-7E7A9311C6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9.10, no atendió</t>
      </text>
    </comment>
    <comment ref="N443" authorId="197" shapeId="0" xr:uid="{7BAEE4FE-F442-4FD3-A25F-44C4AA3EE3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envía presentación del curso</t>
      </text>
    </comment>
    <comment ref="N444" authorId="198" shapeId="0" xr:uid="{ADAF566B-8027-419E-810E-71238C6037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 9.10</t>
      </text>
    </comment>
    <comment ref="P444" authorId="199" shapeId="0" xr:uid="{FC4AE03D-939B-409F-B648-487C24EB88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13.10, no responde</t>
      </text>
    </comment>
    <comment ref="J445" authorId="200" shapeId="0" xr:uid="{18A0A08F-0949-43E8-85B4-6181AE5445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llamo, no dio respuesta</t>
      </text>
    </comment>
    <comment ref="K445" authorId="201" shapeId="0" xr:uid="{29FD3B8A-85E9-449F-9A9B-8D622F0FA1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Dice que el precio es muy elevado, se le ofreció descuento, flexibilidad de pagos y aun así dice que es inaccesible</t>
      </text>
    </comment>
    <comment ref="J446" authorId="202" shapeId="0" xr:uid="{723D8958-4FB2-4BE1-8D06-301F957B03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y despejamos dudas</t>
      </text>
    </comment>
    <comment ref="J447" authorId="203" shapeId="0" xr:uid="{A6DC9006-898A-4CF2-B1E6-CFB9171865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pero envió la llamada a buzón</t>
      </text>
    </comment>
    <comment ref="M447" authorId="204" shapeId="0" xr:uid="{B0F636F6-3AF1-46C5-91AA-3D726F228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14.10 envió a buzón</t>
      </text>
    </comment>
    <comment ref="N447" authorId="205" shapeId="0" xr:uid="{168A7702-0076-446F-A948-66703EFBD8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14.10 envió la llamada a buzón</t>
      </text>
    </comment>
    <comment ref="P447" authorId="206" shapeId="0" xr:uid="{FD43F21E-FE2A-4B20-83A3-DD891863E8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No contesto</t>
      </text>
    </comment>
    <comment ref="Q447" authorId="207" shapeId="0" xr:uid="{7438DD76-0D1D-446D-808B-7E5AC9BDC7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Ofrecí 40% de descuento</t>
      </text>
    </comment>
    <comment ref="J448" authorId="208" shapeId="0" xr:uid="{A924A49C-D340-4728-B4D0-1CDD1FF04D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llamo, pero fue enviada al buzón de voz</t>
      </text>
    </comment>
    <comment ref="J449" authorId="209" shapeId="0" xr:uid="{56B95BDE-8C5B-4036-888D-AE666CAAA9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y no dio respuesta</t>
      </text>
    </comment>
    <comment ref="M450" authorId="210" shapeId="0" xr:uid="{77D30919-A89F-458D-8D5E-B8C6A4DF5D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llamada el 22.10. Interesada</t>
      </text>
    </comment>
    <comment ref="J451" authorId="211" shapeId="0" xr:uid="{1E8803CD-F467-478C-AEDF-A7FF037DE0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hice video llamada</t>
      </text>
    </comment>
    <comment ref="J453" authorId="212" shapeId="0" xr:uid="{654C26ED-FA68-414A-BEBE-993BA6BE46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hoy 13.10, sin respuesta</t>
      </text>
    </comment>
    <comment ref="M454" authorId="213" shapeId="0" xr:uid="{A8334910-A347-4025-8AF4-0699F4DE8B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 llamo ella a mi y me dijo que no esta interesada que le surgió un inconveniente y no tiene trabajo</t>
      </text>
    </comment>
    <comment ref="K455" authorId="214" shapeId="0" xr:uid="{7F6935B3-0514-49D6-9E0B-3BAD801C30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es una persona que he atendido antes, estamos en conversación por whatsapp</t>
      </text>
    </comment>
    <comment ref="P455" authorId="215" shapeId="0" xr:uid="{D152E97F-3845-4799-8269-2AB94794B4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22.10. No contesto</t>
      </text>
    </comment>
    <comment ref="Q455" authorId="216" shapeId="0" xr:uid="{6C5CB0EC-81CA-4C57-9EC7-61C9544F2B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Lame 24.10. me comenta que esta interesada pero que no tiene el tiempo en este momento</t>
      </text>
    </comment>
    <comment ref="M456" authorId="217" shapeId="0" xr:uid="{97E99D71-EDF9-49B2-8C71-D9AD4E4DF7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llame el 21/10. No contesto</t>
      </text>
    </comment>
    <comment ref="N456" authorId="218" shapeId="0" xr:uid="{2F992124-98E5-4551-8480-C2D29B62B2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contacto por mensaje nuevamente, no responde</t>
      </text>
    </comment>
    <comment ref="P456" authorId="219" shapeId="0" xr:uid="{D3B18C61-B64D-4D33-B355-A88F8FAE00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22.10. No contesto</t>
      </text>
    </comment>
    <comment ref="J459" authorId="220" shapeId="0" xr:uid="{23D2F086-F623-40BE-BD91-AAC7F7A75C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el 17/10. No respondió</t>
      </text>
    </comment>
    <comment ref="J460" authorId="221" shapeId="0" xr:uid="{865E53D7-405D-4A5E-B519-7D1E485F3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16/10, sin respuesta.</t>
      </text>
    </comment>
    <comment ref="J461" authorId="222" shapeId="0" xr:uid="{FCC155DC-B955-4013-998E-AAC4F879C8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el 17/10. No respondió</t>
      </text>
    </comment>
    <comment ref="J463" authorId="223" shapeId="0" xr:uid="{5F3D350A-4855-42E5-95F5-4878BFF96C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el 17/10, es interesada. solicito métodos de pago. Pendiente confirmación.</t>
      </text>
    </comment>
    <comment ref="J464" authorId="224" shapeId="0" xr:uid="{04CB7C0C-34B6-401C-8596-656282F664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17.10 y no dio respuesta</t>
      </text>
    </comment>
    <comment ref="J466" authorId="225" shapeId="0" xr:uid="{2B79C04C-BE93-414D-AC8C-B38503B296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se le facilitara la información por Whatsapp</t>
      </text>
    </comment>
    <comment ref="M467" authorId="226" shapeId="0" xr:uid="{F4391F19-C5B1-4AC6-8CC3-EBA81624CF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No contesto</t>
      </text>
    </comment>
    <comment ref="N467" authorId="227" shapeId="0" xr:uid="{A4DC96B7-988E-46F7-BCB0-2DF9BEBC46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Ofrecí 30% de descuento. 24.10</t>
      </text>
    </comment>
    <comment ref="K469" authorId="228" shapeId="0" xr:uid="{80D22A44-C43D-45EA-9292-E372EB9B34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espera para contactar nuevamente, o informar si desea el curso</t>
      </text>
    </comment>
    <comment ref="M469" authorId="229" shapeId="0" xr:uid="{901FFCCC-CACD-410A-B5BF-1F7C87CBD4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22.10. No atendió</t>
      </text>
    </comment>
    <comment ref="N469" authorId="230" shapeId="0" xr:uid="{1769984C-724F-47E9-ABA9-613F9D6114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ofrecí 50% de descuento. No respondió. 23/10</t>
      </text>
    </comment>
    <comment ref="J473" authorId="231" shapeId="0" xr:uid="{4169599F-9EB2-4D87-A209-14F5A1C481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20.10,  no dio respuesta</t>
      </text>
    </comment>
    <comment ref="J474" authorId="232" shapeId="0" xr:uid="{58DA22CB-0327-4D62-9D41-49BE435868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el 20/10. No contesto</t>
      </text>
    </comment>
    <comment ref="N475" authorId="233" shapeId="0" xr:uid="{4744444F-EE02-416B-95FB-B038AE32F7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Desea iniciar el 11/11. Recordar el 9 el proceso de pago y matrícula</t>
      </text>
    </comment>
    <comment ref="J476" authorId="234" shapeId="0" xr:uid="{9EF388D3-BE90-41F4-A8AC-D9AECA0D3A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el 21/10. No contesto</t>
      </text>
    </comment>
    <comment ref="N476" authorId="235" shapeId="0" xr:uid="{0D2FC81A-D163-4B6D-B988-8D350E819C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Recordar el viernes, ofrecer cupon y lograr vender</t>
      </text>
    </comment>
    <comment ref="J477" authorId="236" shapeId="0" xr:uid="{091DE138-4511-400F-99AF-738ACD1C8A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el 21/10. Busca algo presencial</t>
      </text>
    </comment>
    <comment ref="J479" authorId="237" shapeId="0" xr:uid="{6DEEA671-7247-4386-8AD5-DC8E54C165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22/10. No contesto</t>
      </text>
    </comment>
    <comment ref="M479" authorId="238" shapeId="0" xr:uid="{6C9B3371-7A49-4BA4-9812-7492D73055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 solicito una nueva llamada. donde acordó que para el viernes odia hacer el pago</t>
      </text>
    </comment>
    <comment ref="J480" authorId="239" shapeId="0" xr:uid="{360DA250-AD17-40B4-91B2-3B9A0CB46B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por WhatsApp</t>
      </text>
    </comment>
    <comment ref="N480" authorId="240" shapeId="0" xr:uid="{F35B27C0-E245-40C5-AF05-85644EE0A7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el 28/10. Sin respuesta</t>
      </text>
    </comment>
    <comment ref="J481" authorId="241" shapeId="0" xr:uid="{1F504661-BF51-4FF9-807C-D16529DC61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22.10. Esta muy interesado en una serie de cursos</t>
      </text>
    </comment>
    <comment ref="K481" authorId="242" shapeId="0" xr:uid="{DB3F606A-A655-4513-BCAC-D63053F4DA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facilitó la opción de 3 cursos por el pago de 2. Esperando confirmación antes del viernes</t>
      </text>
    </comment>
    <comment ref="J482" authorId="243" shapeId="0" xr:uid="{BD841AA8-6D9B-41A1-9539-190EC847E4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llame el 22.10. No atendio</t>
      </text>
    </comment>
    <comment ref="K482" authorId="244" shapeId="0" xr:uid="{67AB9C91-D64E-4BE0-BEA0-438216FF8D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deje el Link de CETLAT, porque solicito información de beca</t>
      </text>
    </comment>
    <comment ref="N482" authorId="245" shapeId="0" xr:uid="{7D5C35B7-E205-4E92-B98A-365D3AF906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recordé revisar el link de CETLAT</t>
      </text>
    </comment>
    <comment ref="Q482" authorId="246" shapeId="0" xr:uid="{D1A698CD-DD49-4C00-8703-878FE18D07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nueva información el 24.10</t>
      </text>
    </comment>
    <comment ref="J483" authorId="247" shapeId="0" xr:uid="{73482B4B-1D4F-49F9-BF45-36EF42D287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22.10. No contesto, solicito información por mensaje</t>
      </text>
    </comment>
    <comment ref="J484" authorId="248" shapeId="0" xr:uid="{9E764392-E9E6-4BAC-B390-90E307184A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22.10. No contesto</t>
      </text>
    </comment>
    <comment ref="N484" authorId="249" shapeId="0" xr:uid="{5ACEEBAF-A699-428E-A640-157B789F22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28/10</t>
      </text>
    </comment>
    <comment ref="J485" authorId="250" shapeId="0" xr:uid="{F4BDCE4D-E957-43F5-8EB5-0B321A113A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23/10. No contesto</t>
      </text>
    </comment>
    <comment ref="N485" authorId="251" shapeId="0" xr:uid="{E940BF07-B8A4-4452-A1B9-4573AA76D6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el 28/10. sin respuesta</t>
      </text>
    </comment>
    <comment ref="J486" authorId="252" shapeId="0" xr:uid="{BFC362C2-74A7-4E40-8CAA-4EF6E10CCF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23.10. No contesto</t>
      </text>
    </comment>
    <comment ref="J487" authorId="253" shapeId="0" xr:uid="{AB372531-A452-44A4-81EB-B92D088EC5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23.10. No contesto</t>
      </text>
    </comment>
    <comment ref="K488" authorId="254" shapeId="0" xr:uid="{3F745B68-2FD6-4186-A0F6-9A70919E1E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sobre la beca. Se le hablo de CETLAT el 20/10</t>
      </text>
    </comment>
    <comment ref="N488" authorId="255" shapeId="0" xr:uid="{CB1689B6-3107-4331-866A-C18BBAFCE7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Escribió y le envié el link de CETLAT. 23/10</t>
      </text>
    </comment>
    <comment ref="J489" authorId="256" shapeId="0" xr:uid="{BEBD1C6E-886F-466E-BB74-7AF85062C2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llamo el 23/10. No contesto</t>
      </text>
    </comment>
    <comment ref="K489" authorId="257" shapeId="0" xr:uid="{7488FD15-E7BC-4EC9-B91C-CE8FA36C11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por mensaje. Se le facilito los métodos de pago</t>
      </text>
    </comment>
    <comment ref="J490" authorId="258" shapeId="0" xr:uid="{74C06904-6F7D-4301-BE1E-4F419F3F2B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24.10. Solicito información sobre las técnicas que se le facilitaran, componentes y apreciación del tutor.</t>
      </text>
    </comment>
    <comment ref="J495" authorId="259" shapeId="0" xr:uid="{1EE170DD-1E5D-47C4-98A2-4D237802E2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27.10. No contesto</t>
      </text>
    </comment>
    <comment ref="K495" authorId="260" shapeId="0" xr:uid="{E5E0387C-7529-479D-B38B-795606B4D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por este medio. esta mas interesada en algo presencial</t>
      </text>
    </comment>
    <comment ref="J496" authorId="261" shapeId="0" xr:uid="{88A026C9-F95E-45BA-871D-597FB134A7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27:10. No contestó</t>
      </text>
    </comment>
    <comment ref="J497" authorId="262" shapeId="0" xr:uid="{6AF6802B-BE54-41A9-B725-5E06175EED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27/10. No contesto</t>
      </text>
    </comment>
    <comment ref="J499" authorId="263" shapeId="0" xr:uid="{AA92E0A7-8F56-4A24-B626-E51FB4FB13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27/10. No contestó</t>
      </text>
    </comment>
    <comment ref="K499" authorId="264" shapeId="0" xr:uid="{FB304143-5314-4827-ACB3-DE8CD79F29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por mensaje</t>
      </text>
    </comment>
    <comment ref="M502" authorId="265" shapeId="0" xr:uid="{D3993C26-F141-4319-8FD1-0F7038F128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por la central, no escuché. Luego llame por WhatsApp. no contesto. 29/10</t>
      </text>
    </comment>
    <comment ref="N502" authorId="266" shapeId="0" xr:uid="{AAAA932D-3D6B-4BF3-9A72-7C95BE0BB3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con la información del curso.</t>
      </text>
    </comment>
    <comment ref="Q502" authorId="267" shapeId="0" xr:uid="{72571579-4C38-4843-984B-DB59B605E4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con el link de pago. 11/11</t>
      </text>
    </comment>
    <comment ref="J503" authorId="268" shapeId="0" xr:uid="{D162684B-C5EC-4472-8B40-E5B287DDB7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28/10. Solicito mas información por mensaje</t>
      </text>
    </comment>
    <comment ref="J504" authorId="269" shapeId="0" xr:uid="{4FD84C28-67CD-4AB6-9748-791EC738A5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28/10. Contesto, solicito mas información por mensaje</t>
      </text>
    </comment>
    <comment ref="J505" authorId="270" shapeId="0" xr:uid="{C3B9E007-CDF0-48D5-B9CB-C56DF57C44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27/10. No podía contestar</t>
      </text>
    </comment>
    <comment ref="J507" authorId="271" shapeId="0" xr:uid="{E5F3B84D-796D-43A9-93CA-1299FF67D1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por centralita no contesto.
Llame por WhatsApp, solicito que pasara la información por chat</t>
      </text>
    </comment>
    <comment ref="N507" authorId="272" shapeId="0" xr:uid="{69740899-F759-40CD-956F-659A75FD09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29/10</t>
      </text>
    </comment>
    <comment ref="J508" authorId="273" shapeId="0" xr:uid="{24300FEB-5A6B-443C-B69C-CC36410C44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28/10. Me envió a buzón</t>
      </text>
    </comment>
    <comment ref="M508" authorId="274" shapeId="0" xr:uid="{6422E4E6-2440-467B-BE2C-6CD3EBF872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29/10. No contestó</t>
      </text>
    </comment>
    <comment ref="N508" authorId="275" shapeId="0" xr:uid="{C7BB2058-4D84-406A-BEFE-36B567405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Deje mensaje/sin respuesta.</t>
      </text>
    </comment>
    <comment ref="J509" authorId="276" shapeId="0" xr:uid="{96BC3A4D-8303-4368-BCFF-76CC67C71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29/10. No atendió</t>
      </text>
    </comment>
    <comment ref="J510" authorId="277" shapeId="0" xr:uid="{39471E2D-B85D-4222-AA38-3E017662D3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29/10. NO contesto</t>
      </text>
    </comment>
    <comment ref="K510" authorId="278" shapeId="0" xr:uid="{AF4ECF3B-E64A-4A3E-B372-F4823DB924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por esta vía</t>
      </text>
    </comment>
    <comment ref="N515" authorId="279" shapeId="0" xr:uid="{98EF90F5-D842-45E8-9A28-FF99EDC706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deje informacion sobre el 50%. No respondió</t>
      </text>
    </comment>
    <comment ref="K516" authorId="280" shapeId="0" xr:uid="{335AB5B9-7601-473F-BA84-5991A47BC0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por esta vía.30/10</t>
      </text>
    </comment>
    <comment ref="N516" authorId="281" shapeId="0" xr:uid="{49ACA611-55CD-4E77-A6CE-B18A24E5F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segundo seguimiento. 31/10</t>
      </text>
    </comment>
    <comment ref="K517" authorId="282" shapeId="0" xr:uid="{7E77C45C-3B3B-4258-A85A-01A91E851D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Interesada en un diplomado, solicitara beca. 31/10</t>
      </text>
    </comment>
    <comment ref="N517" authorId="283" shapeId="0" xr:uid="{B57F677B-8516-4C0E-B204-8B3595D998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Se le ofrecio la beca</t>
      </text>
    </comment>
    <comment ref="J518" authorId="284" shapeId="0" xr:uid="{6041EAE1-709D-4F36-8AC9-36A182CBAD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llame, facilite toda la información. 31/10</t>
      </text>
    </comment>
    <comment ref="N518" authorId="285" shapeId="0" xr:uid="{5412A484-B1A8-44DF-A780-F1554EEA0D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Ofreci 50% de descuento</t>
      </text>
    </comment>
    <comment ref="K519" authorId="286" shapeId="0" xr:uid="{8F73F242-08F7-489A-A19E-6E879BF99D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medio. 3/11</t>
      </text>
    </comment>
    <comment ref="K520" authorId="287" shapeId="0" xr:uid="{EC570E80-304F-4A81-9BF0-B2FF91BB7D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medio. 3/11</t>
      </text>
    </comment>
    <comment ref="K521" authorId="288" shapeId="0" xr:uid="{BB8FF342-BF28-4BCB-AD20-4DA2BB57CC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</t>
      </text>
    </comment>
    <comment ref="N523" authorId="289" shapeId="0" xr:uid="{B1D209F4-3039-4AD3-83FC-16CF6ABDD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4/11</t>
      </text>
    </comment>
    <comment ref="K524" authorId="290" shapeId="0" xr:uid="{F2CBC7ED-E9E3-40C5-B01D-B4792CE05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medio. 03/11</t>
      </text>
    </comment>
    <comment ref="J525" authorId="291" shapeId="0" xr:uid="{EFD8FA9E-9F38-4C0F-A2EF-4F155C4F8D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llame el 3/11. Facilite toda la información</t>
      </text>
    </comment>
    <comment ref="K525" authorId="292" shapeId="0" xr:uid="{7D71A9F1-64F4-4D2F-AE10-1581EA1A25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Concreto el pago</t>
      </text>
    </comment>
    <comment ref="K526" authorId="293" shapeId="0" xr:uid="{3EEDCF8D-2EC9-4579-9173-41B0E3AEA1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medio. 03/11</t>
      </text>
    </comment>
    <comment ref="N526" authorId="294" shapeId="0" xr:uid="{7810C6E2-FC3A-45AE-AD49-58356927A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04/|11</t>
      </text>
    </comment>
    <comment ref="K527" authorId="295" shapeId="0" xr:uid="{6850C17D-C5FD-4D7D-BEEB-B567B00970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medio.</t>
      </text>
    </comment>
    <comment ref="N527" authorId="296" shapeId="0" xr:uid="{4C29D60B-4D42-4482-8FA1-3EF7F98475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</t>
      </text>
    </comment>
    <comment ref="J528" authorId="297" shapeId="0" xr:uid="{7A7F858E-F939-486D-A449-F618160A8B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llamada</t>
      </text>
    </comment>
    <comment ref="K529" authorId="298" shapeId="0" xr:uid="{49274567-4750-4D50-83CB-18E548ED7E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el 04/11. deje información</t>
      </text>
    </comment>
    <comment ref="N529" authorId="299" shapeId="0" xr:uid="{1A892232-233A-441B-BF6D-5F0A8F7B0B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seguimiento, sin respuesta. 14/11</t>
      </text>
    </comment>
    <comment ref="Q529" authorId="300" shapeId="0" xr:uid="{F6AAAD2C-95DD-45A4-B346-6DE88E58BC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seguimiento sin respuesta. 21/11</t>
      </text>
    </comment>
    <comment ref="J530" authorId="301" shapeId="0" xr:uid="{196035C4-C60C-4ED5-9EBE-BDB1816093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información por WhatsApp</t>
      </text>
    </comment>
    <comment ref="K530" authorId="302" shapeId="0" xr:uid="{41301E4A-77C4-4E8F-87CE-B7860025F1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 información. Sin respuesta. 04/11</t>
      </text>
    </comment>
    <comment ref="L531" authorId="303" shapeId="0" xr:uid="{066812AD-C95E-4EB9-93EB-B85C53C15C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Aclare dudas. Solicite un número telefónico. 05/11</t>
      </text>
    </comment>
    <comment ref="N533" authorId="304" shapeId="0" xr:uid="{62716A8A-1D64-42D8-BD5B-93C1B07796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14/11</t>
      </text>
    </comment>
    <comment ref="Q533" authorId="305" shapeId="0" xr:uid="{6DEDEFC8-3521-4A74-BCC7-D315EE4576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seguimiento, sin respuesta. 21/11</t>
      </text>
    </comment>
    <comment ref="N534" authorId="306" shapeId="0" xr:uid="{28D1BB7B-AA91-41CA-AA8F-C7722F3A20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7/11. sin respuesta</t>
      </text>
    </comment>
    <comment ref="N544" authorId="307" shapeId="0" xr:uid="{A922E6F0-33F3-4F44-A52E-534EF0F289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12/11. Pendiente solicitud de beca</t>
      </text>
    </comment>
    <comment ref="J545" authorId="308" shapeId="0" xr:uid="{98C7C3F2-F2A0-4560-B133-1EE561402B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llame el 10/11. Esta muy interesada en el curso pero por motivos de viaje y otros pendientes no podrá realizarlo todavía</t>
      </text>
    </comment>
    <comment ref="K545" authorId="309" shapeId="0" xr:uid="{8C501D1F-8099-4B2B-A65C-857AE69AC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con toda la información. Me indica que para enero me contacta</t>
      </text>
    </comment>
    <comment ref="N545" authorId="310" shapeId="0" xr:uid="{24FB8E89-B327-4049-9F8D-81F15D200F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Interesada, Pero esta de viaje</t>
      </text>
    </comment>
    <comment ref="K546" authorId="311" shapeId="0" xr:uid="{E79D7831-29D6-443C-A2D9-FDB53B5C9F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link de beca. sin respuesta. 10/11</t>
      </text>
    </comment>
    <comment ref="N546" authorId="312" shapeId="0" xr:uid="{D848E1B8-5AE2-4480-9178-C5207A83CD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11/11, sin respuesta</t>
      </text>
    </comment>
    <comment ref="J547" authorId="313" shapeId="0" xr:uid="{5D2C5BCA-D267-430B-B083-834A205D55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10/11. Di toda la informacion necesaria</t>
      </text>
    </comment>
    <comment ref="K547" authorId="314" shapeId="0" xr:uid="{0055BF70-C6C5-4CDD-B7CA-E25644D586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complementaria. 10/11</t>
      </text>
    </comment>
    <comment ref="J548" authorId="315" shapeId="0" xr:uid="{02283619-A4DA-49F0-BAE3-8328FA7828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10/11. Esta interesada, debe terminar un curso primero</t>
      </text>
    </comment>
    <comment ref="K548" authorId="316" shapeId="0" xr:uid="{B33696DA-82D2-4A40-ABFF-2E33F3FC11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complementaria 10/11</t>
      </text>
    </comment>
    <comment ref="K549" authorId="317" shapeId="0" xr:uid="{628CCBEE-60BC-4B8E-B5EA-A9617A4BC0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 10/11. Revisara otras opciones y se decidirá</t>
      </text>
    </comment>
    <comment ref="K550" authorId="318" shapeId="0" xr:uid="{61456CB3-D1D5-474B-9E33-6E383483FF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el 10/11. sin respuesta</t>
      </text>
    </comment>
    <comment ref="K551" authorId="319" shapeId="0" xr:uid="{84C366A9-2447-45AD-9569-0877672882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por este medio el 10/11. Debe esperar un tiempo, ya que será intervenida quirúrgicamente</t>
      </text>
    </comment>
    <comment ref="L552" authorId="320" shapeId="0" xr:uid="{7FB4A46F-BF24-478C-BCFD-02D73EC0EC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Envie correo el 11/10</t>
      </text>
    </comment>
    <comment ref="K556" authorId="321" shapeId="0" xr:uid="{0EB98275-61AE-4B3A-A1BC-07F0CF3AAC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informacion el 11/11. Indico escasos recursos, le deje el link de CETLAT</t>
      </text>
    </comment>
    <comment ref="K557" authorId="322" shapeId="0" xr:uid="{0B3EAF24-C627-423C-827F-78DD5A2595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Dossier del diplomado el 11/11. Pendiente revisar y confirmar</t>
      </text>
    </comment>
    <comment ref="K558" authorId="323" shapeId="0" xr:uid="{F3E02384-C92C-4D2A-881C-48B33B127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dossier del Máster Sin respuesta el 11/11</t>
      </text>
    </comment>
    <comment ref="L559" authorId="324" shapeId="0" xr:uid="{9C218120-2C20-4247-852A-0C7BBC073F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por correo el 12/11. Sin respuesta</t>
      </text>
    </comment>
    <comment ref="K560" authorId="325" shapeId="0" xr:uid="{ABFD3B98-0F3D-494A-9C9B-11447870DE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12/11. Deje dossier con toda la información</t>
      </text>
    </comment>
    <comment ref="K561" authorId="326" shapeId="0" xr:uid="{23E85D14-4776-43ED-B689-4BEB332CB2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un mensaje el 12/11.</t>
      </text>
    </comment>
    <comment ref="L562" authorId="327" shapeId="0" xr:uid="{65C173F6-246F-460E-8A0C-59C7038B6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dejo correo con informacion y contenido de los módulos. En espera de un numero telefónico para ampliar información.12/11</t>
      </text>
    </comment>
    <comment ref="J563" authorId="328" shapeId="0" xr:uid="{9B934E55-3948-473A-BA51-4399067E50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Realice llamada el 17/11. Facilite información. Decidió realizar el curso</t>
      </text>
    </comment>
    <comment ref="L563" authorId="329" shapeId="0" xr:uid="{25142F27-0DEB-4BD4-B050-7A3B43ED4A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envio informacion solicitada por este medio. 12/11</t>
      </text>
    </comment>
    <comment ref="K564" authorId="330" shapeId="0" xr:uid="{82EB72C8-E245-4294-A11E-AD97481CB1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informacion necesaria el 13/11</t>
      </text>
    </comment>
    <comment ref="L564" authorId="331" shapeId="0" xr:uid="{0CFEFA3F-6FE1-49D5-9AE4-C9CAC409E8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con Dossier. 13/11</t>
      </text>
    </comment>
    <comment ref="J570" authorId="332" shapeId="0" xr:uid="{9343BA1A-8F25-4030-9732-208EAB23A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13/11. Facilite toda la informacion y di orientaciones</t>
      </text>
    </comment>
    <comment ref="K570" authorId="333" shapeId="0" xr:uid="{8097CEE8-EE88-4963-A96E-1B392A44FA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Dossier de diferentes cursos para decidir. 13/11</t>
      </text>
    </comment>
    <comment ref="N570" authorId="334" shapeId="0" xr:uid="{3CBEB95C-F939-40E9-944E-6F0A6C50B0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 14/11. Sin respuesta</t>
      </text>
    </comment>
    <comment ref="K571" authorId="335" shapeId="0" xr:uid="{696411D9-E580-4275-B137-93D6C0BF25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informacion con Dossier. En espera confirmación</t>
      </text>
    </comment>
    <comment ref="N571" authorId="336" shapeId="0" xr:uid="{A070D04A-4A0B-4323-BF58-1D113ED0E5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14/11</t>
      </text>
    </comment>
    <comment ref="K572" authorId="337" shapeId="0" xr:uid="{6E6062A8-82B1-4D72-BE6F-9A821D5F51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14/11. Deje Dossier</t>
      </text>
    </comment>
    <comment ref="K573" authorId="338" shapeId="0" xr:uid="{C1A82489-D45E-4C79-9E2C-D86DC3BB7D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14/11. Deje información</t>
      </text>
    </comment>
    <comment ref="N573" authorId="339" shapeId="0" xr:uid="{C430F6D7-6C85-4F5D-8254-8E005D5DDB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17.11</t>
      </text>
    </comment>
    <comment ref="N574" authorId="340" shapeId="0" xr:uid="{5B4D19DB-AD2A-43E5-8E5A-E17AAB8014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17/11</t>
      </text>
    </comment>
    <comment ref="L575" authorId="341" shapeId="0" xr:uid="{3F49BA24-35F0-41AA-AB52-FEC0D6427A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14/11</t>
      </text>
    </comment>
    <comment ref="K576" authorId="342" shapeId="0" xr:uid="{D6FA9071-4ADC-4895-8045-3C54447676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el 14.11. SE lo va a pensar</t>
      </text>
    </comment>
    <comment ref="N576" authorId="343" shapeId="0" xr:uid="{39BD8F56-1B87-473F-B576-29A9247D11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17.11</t>
      </text>
    </comment>
    <comment ref="K577" authorId="344" shapeId="0" xr:uid="{FF452668-9C1F-432B-B6B8-84DC16A5AE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por este medio. 17/11</t>
      </text>
    </comment>
    <comment ref="N577" authorId="345" shapeId="0" xr:uid="{BC314377-8F43-4C67-A1F2-01E7F431E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18/11 
Interesada, pendiente decidir</t>
      </text>
    </comment>
    <comment ref="K578" authorId="346" shapeId="0" xr:uid="{2C309AEE-A119-4442-8422-05C587C5AF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información y Dossier 17/11</t>
      </text>
    </comment>
    <comment ref="K579" authorId="347" shapeId="0" xr:uid="{A8878A3B-249D-4BEF-B49B-0836AA87CA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solicitada. Se le extravió la tarjeta. Esta atenta 17/11</t>
      </text>
    </comment>
    <comment ref="K581" authorId="348" shapeId="0" xr:uid="{5A0BEF35-D4DC-40D7-AA66-307DB415E4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informacion el 17/11</t>
      </text>
    </comment>
    <comment ref="J582" authorId="349" shapeId="0" xr:uid="{6D1B1B37-0B80-4765-BA2B-36027E7440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realicé llamada y facilite información  17/11</t>
      </text>
    </comment>
    <comment ref="K582" authorId="350" shapeId="0" xr:uid="{B61E0F32-0011-4BE6-8676-F87FA062D0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link de pago</t>
      </text>
    </comment>
    <comment ref="K583" authorId="351" shapeId="0" xr:uid="{34264156-F6AD-4148-AAA0-7FA55D2C29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información y Dossier el 17/11</t>
      </text>
    </comment>
    <comment ref="K592" authorId="352" shapeId="0" xr:uid="{FD85D2E5-C309-451A-8235-71670BF768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el 18/11. Sin respuesta</t>
      </text>
    </comment>
    <comment ref="K594" authorId="353" shapeId="0" xr:uid="{6AFB2DAD-933A-4F9B-AF71-FA14E76BE2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el 19/11. Solicito informacion sobre la beca, deje el link de CETLAT</t>
      </text>
    </comment>
    <comment ref="K597" authorId="354" shapeId="0" xr:uid="{F5EF2CAD-40DC-422A-B806-D89878DB7D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Dossier con información</t>
      </text>
    </comment>
    <comment ref="K598" authorId="355" shapeId="0" xr:uid="{A5C95585-3D6F-489A-866F-2D22D30DAE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de pago por plazos. 20/11</t>
      </text>
    </comment>
    <comment ref="K599" authorId="356" shapeId="0" xr:uid="{6A44F05D-01A9-4CBD-9FB0-7AD3D2617F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y Dossier. 20/11</t>
      </text>
    </comment>
    <comment ref="L600" authorId="357" shapeId="0" xr:uid="{F23CB8FA-743D-4A77-A65A-8737C281F7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información y Dossier al correo. 20/11</t>
      </text>
    </comment>
    <comment ref="K601" authorId="358" shapeId="0" xr:uid="{CBCF86BE-6BCA-49AD-BE6C-D61F346A89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y Dossier. pendiente confirmación</t>
      </text>
    </comment>
    <comment ref="K602" authorId="359" shapeId="0" xr:uid="{5ACF452E-C132-4233-B4FB-D97D34007C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y Dossier. 20/11</t>
      </text>
    </comment>
    <comment ref="K603" authorId="360" shapeId="0" xr:uid="{EF411216-B539-4AFE-9560-0BC9AEF5CF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y Dossier. 20/11, sin respuesta</t>
      </text>
    </comment>
    <comment ref="N605" authorId="361" shapeId="0" xr:uid="{0A8E67C7-E372-42A1-8717-C5E0F9A415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26/11</t>
      </text>
    </comment>
    <comment ref="K610" authorId="362" shapeId="0" xr:uid="{CE6736B1-CFE7-4F4D-BF48-B6A3F1D896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Envié informacion el 25/11. Sin respuesta</t>
      </text>
    </comment>
    <comment ref="L613" authorId="363" shapeId="0" xr:uid="{FAB7427A-DDAD-49E3-9C65-16488AAC7C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por correo.</t>
      </text>
    </comment>
    <comment ref="J617" authorId="364" shapeId="0" xr:uid="{E281B57C-54B1-4673-9F54-28293838A7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Realice llamada, facilite toda la informacion, di planes de pago, interesada</t>
      </text>
    </comment>
    <comment ref="J618" authorId="365" shapeId="0" xr:uid="{6AEA583D-1D7B-47C4-9371-EDCF4F3ACB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Realice llamada, facilite toda la informacion, di planes de pago, interesada</t>
      </text>
    </comment>
    <comment ref="K618" authorId="366" shapeId="0" xr:uid="{D6A8034C-6FD0-48C3-8B7C-C53771342D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llamada, y confirmar fecha de inicio. 24/11</t>
      </text>
    </comment>
    <comment ref="N618" authorId="367" shapeId="0" xr:uid="{23C95479-10E5-4F79-A079-CA7CCC9820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25/11. Sin respuesta</t>
      </text>
    </comment>
    <comment ref="N620" authorId="368" shapeId="0" xr:uid="{9E1AFE71-94E7-4DC5-929E-F950C96477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26/11.</t>
      </text>
    </comment>
    <comment ref="N621" authorId="369" shapeId="0" xr:uid="{0F2D6CF6-C793-4A4D-813D-EBE3E857A7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26/11. sin respuesta</t>
      </text>
    </comment>
    <comment ref="L623" authorId="370" shapeId="0" xr:uid="{ADA57ED3-8085-44BC-8546-3A73462290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información al correo y aclare dudas. 26/11</t>
      </text>
    </comment>
    <comment ref="N631" authorId="371" shapeId="0" xr:uid="{8B6B639F-671E-4B76-BE25-DC047D2534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y envié Dossier. Sin respuesta. 27/11</t>
      </text>
    </comment>
    <comment ref="N632" authorId="372" shapeId="0" xr:uid="{16AFAB80-0447-41AD-81D5-5AC273FD78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27/11</t>
      </text>
    </comment>
    <comment ref="K646" authorId="373" shapeId="0" xr:uid="{A2E6A434-1ECF-4007-9189-28E76EA603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Pase información el 28/11</t>
      </text>
    </comment>
    <comment ref="N646" authorId="374" shapeId="0" xr:uid="{1FDBC5AD-EE05-4633-93A8-981BD4521F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02/12</t>
      </text>
    </comment>
    <comment ref="N648" authorId="375" shapeId="0" xr:uid="{9705899C-31CA-4941-AF92-F800F3E758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Deje link de pago</t>
      </text>
    </comment>
    <comment ref="N649" authorId="376" shapeId="0" xr:uid="{E1749AF0-E297-49CC-9ADB-87E95C9333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10/12</t>
      </text>
    </comment>
    <comment ref="N654" authorId="377" shapeId="0" xr:uid="{245425B8-0A8D-41DA-BBF6-55497AFFB8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10/12</t>
      </text>
    </comment>
    <comment ref="N655" authorId="378" shapeId="0" xr:uid="{2B7E12D8-1455-45E7-87D9-2AA4722F6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10/12</t>
      </text>
    </comment>
    <comment ref="J659" authorId="379" shapeId="0" xr:uid="{FE496B4E-77B6-431F-ADF2-07B4D99394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02/12. Sin respuesta</t>
      </text>
    </comment>
    <comment ref="N659" authorId="380" shapeId="0" xr:uid="{3E6735DD-C24B-4BF0-87AC-6ED85B6BF1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05/12</t>
      </text>
    </comment>
    <comment ref="K662" authorId="381" shapeId="0" xr:uid="{6F231823-2E1C-422A-94B3-868F7F7E55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02/12. Sin respuesta</t>
      </text>
    </comment>
    <comment ref="N662" authorId="382" shapeId="0" xr:uid="{687DE3C7-8E96-446F-9805-7E450A838D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seguimiento. 05/12</t>
      </text>
    </comment>
    <comment ref="N665" authorId="383" shapeId="0" xr:uid="{962A35AB-4F1D-4123-8A08-231FDF4244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Con 30% dcto. 05/12</t>
      </text>
    </comment>
    <comment ref="K667" authorId="384" shapeId="0" xr:uid="{4CA1BC8A-A837-4279-A2DB-B2FEA2411C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el 02/12. Sin respuesta</t>
      </text>
    </comment>
    <comment ref="K668" authorId="385" shapeId="0" xr:uid="{D94AF53C-1954-4C9A-AD59-2F993EECA9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el 04/12</t>
      </text>
    </comment>
    <comment ref="N668" authorId="386" shapeId="0" xr:uid="{AB7DDA9F-5DB5-4F1B-B488-8605174404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con 30% Dcto. 05/12</t>
      </text>
    </comment>
    <comment ref="K669" authorId="387" shapeId="0" xr:uid="{0F818937-5043-4089-A61C-85EF99EB0F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el 03/12. Sin respuesta</t>
      </text>
    </comment>
    <comment ref="N669" authorId="388" shapeId="0" xr:uid="{CFCE7EC0-C7A6-4194-BB73-BE7581E8B1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Aclare dudas el 04/12</t>
      </text>
    </comment>
    <comment ref="K670" authorId="389" shapeId="0" xr:uid="{809336C7-B814-422D-B679-BFE64990C5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el 03/12. Interesado, lo pensará para darme respuesta</t>
      </text>
    </comment>
    <comment ref="N670" authorId="390" shapeId="0" xr:uid="{D9F7C1CA-D4EA-4D6F-80A9-F79EAB6390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sin respuesta</t>
      </text>
    </comment>
    <comment ref="K671" authorId="391" shapeId="0" xr:uid="{20D8BAC7-D91F-4215-8FAE-462A74A1B4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03/12. Sin respuesta</t>
      </text>
    </comment>
    <comment ref="N671" authorId="392" shapeId="0" xr:uid="{00D687F9-81BF-4965-9A34-6EE732D017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30% Dcto. 05/12</t>
      </text>
    </comment>
    <comment ref="K673" authorId="393" shapeId="0" xr:uid="{4CA2A25D-6C60-40D3-A9F6-AF4C90D24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el 03/12. Sin respuesta</t>
      </text>
    </comment>
    <comment ref="N673" authorId="394" shapeId="0" xr:uid="{19AD60A6-D141-4968-A669-6E3727FA5F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Seguimiento.30% Dcto. 05/12</t>
      </text>
    </comment>
    <comment ref="K677" authorId="395" shapeId="0" xr:uid="{BDD5C684-DF15-4CFC-A895-098254A236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link de pago solicitado. 04/12</t>
      </text>
    </comment>
    <comment ref="N678" authorId="396" shapeId="0" xr:uid="{C8F746EB-7D4E-4104-83AF-7393538FA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Ofrecí 30% Dcto.</t>
      </text>
    </comment>
    <comment ref="K684" authorId="397" shapeId="0" xr:uid="{75E0C9AE-E734-4F54-AD26-48D54B5775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Ofrecí  30% de descuento. 05/12</t>
      </text>
    </comment>
    <comment ref="N684" authorId="398" shapeId="0" xr:uid="{251B3377-083F-4516-9465-B3EF45B3DE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11/12</t>
      </text>
    </comment>
    <comment ref="N688" authorId="399" shapeId="0" xr:uid="{EF0E6B5B-93A6-4C45-9520-DBDFA1083D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Desea matricularse Luego.! ENERO:</t>
      </text>
    </comment>
    <comment ref="N692" authorId="400" shapeId="0" xr:uid="{1EECCA7D-E47F-492D-9ABF-C9DEFE9684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interesado. Busca otro enfoque</t>
      </text>
    </comment>
    <comment ref="N693" authorId="401" shapeId="0" xr:uid="{BDD3642A-AD22-43E1-AAC6-982ADC752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11/12</t>
      </text>
    </comment>
    <comment ref="L696" authorId="402" shapeId="0" xr:uid="{2D164FB5-C2D0-46B9-AE01-BC502CCECB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Informacion enviada al correo. 08/12/25</t>
      </text>
    </comment>
    <comment ref="K699" authorId="403" shapeId="0" xr:uid="{B463027D-D02A-4EE6-BFF7-BFE78232F8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Informacion y link enviada. 08/12</t>
      </text>
    </comment>
    <comment ref="N705" authorId="404" shapeId="0" xr:uid="{EDD8C85D-5B37-48F9-9066-8081CA0755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16.12/ realizara el pago por la web</t>
      </text>
    </comment>
    <comment ref="K709" authorId="405" shapeId="0" xr:uid="{F8B6EBB7-002C-45D7-A26C-C27139BDB8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el 10.12</t>
      </text>
    </comment>
    <comment ref="K712" authorId="406" shapeId="0" xr:uid="{9E039713-63FD-44C1-B202-075F4658A4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Desea matricularse para Enero</t>
      </text>
    </comment>
    <comment ref="J720" authorId="407" shapeId="0" xr:uid="{CD93822A-6DFF-4AE7-AA79-36BC55B647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y ofrecí información solicitada. 12/12</t>
      </text>
    </comment>
    <comment ref="K720" authorId="408" shapeId="0" xr:uid="{BCDEA6D3-8137-4977-A4E6-096F638155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con informacion solicitada. 12/12</t>
      </text>
    </comment>
    <comment ref="N720" authorId="409" shapeId="0" xr:uid="{10028CE4-77DB-4E15-BFAF-CBF2D95BBD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16/12</t>
      </text>
    </comment>
    <comment ref="J721" authorId="410" shapeId="0" xr:uid="{A33C012C-5B92-4462-A356-A0EABBB79B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12/12. sin respuesta</t>
      </text>
    </comment>
    <comment ref="N721" authorId="411" shapeId="0" xr:uid="{4278BFD8-BFD7-4A11-A850-09EB7A8E76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Seguimiento. 15/12</t>
      </text>
    </comment>
    <comment ref="J722" authorId="412" shapeId="0" xr:uid="{B7023166-4364-4D84-B6D8-0D152266E0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llamo el 12.12. Sin respuesta</t>
      </text>
    </comment>
    <comment ref="L722" authorId="413" shapeId="0" xr:uid="{0A791258-DC63-4378-8D71-4F7A42779B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correo con informacion del curso. 17/12</t>
      </text>
    </comment>
    <comment ref="J723" authorId="414" shapeId="0" xr:uid="{FFB7128A-8D6A-47C0-AE78-7C3AED7937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15/12. Sin respuesta</t>
      </text>
    </comment>
    <comment ref="K723" authorId="415" shapeId="0" xr:uid="{CF257377-80BB-4BA0-AE16-34BC3D0E9C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el 15/12. sin respuesta</t>
      </text>
    </comment>
    <comment ref="J724" authorId="416" shapeId="0" xr:uid="{043CDC66-3B8F-4146-A960-22CDAA2AA4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15/12. sin respuesta</t>
      </text>
    </comment>
    <comment ref="L725" authorId="417" shapeId="0" xr:uid="{563E551B-C75A-4731-BD32-A888A1E7E2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información al correo.</t>
      </text>
    </comment>
    <comment ref="L726" authorId="418" shapeId="0" xr:uid="{1A0C2051-3643-49D1-A9AE-9703131AE2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informacion al correo</t>
      </text>
    </comment>
    <comment ref="J727" authorId="419" shapeId="0" xr:uid="{E1505220-301A-4D16-85D7-332E47ED1A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15/12. Sin Respuesta</t>
      </text>
    </comment>
    <comment ref="N727" authorId="420" shapeId="0" xr:uid="{720B1B25-C577-4320-8AD9-B00C0D4CBF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16/12</t>
      </text>
    </comment>
    <comment ref="K728" authorId="421" shapeId="0" xr:uid="{739C4322-F90B-439F-8BF3-D752C3D524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Facilite información. 15/12</t>
      </text>
    </comment>
    <comment ref="N729" authorId="422" shapeId="0" xr:uid="{230BA738-B4DB-41AA-8B4A-4CD7C125AF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16/12</t>
      </text>
    </comment>
    <comment ref="J730" authorId="423" shapeId="0" xr:uid="{D5CC47DC-06BC-409E-ACEC-27D5CBB96D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15/12. Sin respuesta</t>
      </text>
    </comment>
    <comment ref="N730" authorId="424" shapeId="0" xr:uid="{9B6CEA68-0E88-4AD3-9A85-4AE7D9301D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Seguimiento el 16/12</t>
      </text>
    </comment>
    <comment ref="J735" authorId="425" shapeId="0" xr:uid="{7A2F3A49-8B83-46BA-9B2C-D5A3AB49E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15/12. Sin respuesta</t>
      </text>
    </comment>
    <comment ref="K735" authorId="426" shapeId="0" xr:uid="{E2082E1D-603D-4AA0-8EBC-B2AD1EDD99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Escribí el 15/12. Solicito información por este medio</t>
      </text>
    </comment>
    <comment ref="K737" authorId="427" shapeId="0" xr:uid="{94B79D69-4EB4-4D34-9CF5-14A786D094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mensaje el 16/12</t>
      </text>
    </comment>
    <comment ref="J740" authorId="428" shapeId="0" xr:uid="{0B1C3E4E-3F0F-4887-9B0B-83DE154412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Llamada pendiente par el 17/12 a las 12.30</t>
      </text>
    </comment>
    <comment ref="K743" authorId="429" shapeId="0" xr:uid="{E00A5557-4146-41B8-B7E9-7A69E5173D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 comunicarse en horas de la tarde. 17/12</t>
      </text>
    </comment>
    <comment ref="J747" authorId="430" shapeId="0" xr:uid="{81B59D41-6FA0-4207-AAA0-200E51BBD1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Realice llamada. El 17/12. sin respuesta</t>
      </text>
    </comment>
    <comment ref="K749" authorId="431" shapeId="0" xr:uid="{986EE0E0-9ADC-4E9B-BE0C-696398ECD8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18/12. Deje cupon de descuento</t>
      </text>
    </comment>
    <comment ref="K750" authorId="432" shapeId="0" xr:uid="{A74220FA-5561-4EA4-96E6-88A5467BA2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18/12. Deje cupon de descuento.</t>
      </text>
    </comment>
    <comment ref="N751" authorId="433" shapeId="0" xr:uid="{5F6816D0-C6F4-4CBE-A46B-83653AD3D1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29/12. Deje descuento de 50%</t>
      </text>
    </comment>
    <comment ref="N755" authorId="434" shapeId="0" xr:uid="{CB27098C-D089-4533-A8B6-622188329D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29/12. Deje cupon de descuento. Sin respuesta</t>
      </text>
    </comment>
    <comment ref="N756" authorId="435" shapeId="0" xr:uid="{8F2BD6EE-B2CB-435F-AC56-EABAB1B084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29/12. Deje cupon, sin respuesta</t>
      </text>
    </comment>
    <comment ref="N766" authorId="436" shapeId="0" xr:uid="{6278304A-0B62-4914-944F-F95CE93AA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30/12. Deje Dossier y cupon. Sin respuesta</t>
      </text>
    </comment>
    <comment ref="N768" authorId="437" shapeId="0" xr:uid="{D5983D30-82D7-4DCD-AA18-7B51C7FC5E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30/12. Deje Dossier, cupón. Sin respuesta</t>
      </text>
    </comment>
    <comment ref="F824" authorId="438" shapeId="0" xr:uid="{00000000-0006-0000-0700-000001000000}">
      <text>
        <r>
          <rPr>
            <sz val="10"/>
            <color rgb="FF000000"/>
            <rFont val="Arial"/>
            <scheme val="minor"/>
          </rPr>
          <t xml:space="preserve">Cambio de formación (Diplomado en Psicoterapia Integrativa)
</t>
        </r>
      </text>
    </comment>
    <comment ref="K827" authorId="439" shapeId="0" xr:uid="{E664E815-4F4A-42E3-BD4C-1384CF2D02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Escribi el 09.01/ Deje cupón de descuento. sin respuesta</t>
      </text>
    </comment>
    <comment ref="M830" authorId="440" shapeId="0" xr:uid="{2ACC5FAD-B341-4982-997C-FFC08B166D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 el 05/05. Sin respuesta</t>
      </text>
    </comment>
    <comment ref="J833" authorId="441" shapeId="0" xr:uid="{A201C49B-A07F-47E5-B852-1FBA750289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realice llamada el 12.01/ Sin respuesta</t>
      </text>
    </comment>
    <comment ref="M840" authorId="442" shapeId="0" xr:uid="{918931FE-6525-4C21-A42F-EB7539165A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 el 05/05. Sin respuesta</t>
      </text>
    </comment>
    <comment ref="M842" authorId="443" shapeId="0" xr:uid="{F628F0C1-CCE1-4614-808B-46A325E304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05/05. Sin respuesta</t>
      </text>
    </comment>
    <comment ref="J843" authorId="444" shapeId="0" xr:uid="{839D43D4-1F90-42AF-A438-A12F2DCFDB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14/01, sin respuesta</t>
      </text>
    </comment>
    <comment ref="J844" authorId="445" shapeId="0" xr:uid="{294E8F90-859A-4047-800B-BAC8E3F57F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14/01. Atendio mi llamada, di información</t>
      </text>
    </comment>
    <comment ref="J845" authorId="446" shapeId="0" xr:uid="{FEABE520-B02B-49C3-9E67-7683ADA5D1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15/01. Espera respuesta de su coordinador.</t>
      </text>
    </comment>
    <comment ref="N845" authorId="447" shapeId="0" xr:uid="{14765D5F-90B1-4CC1-A1AD-CDF7E32B2F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link de pago, en espera de respuesta del coordinador.</t>
      </text>
    </comment>
    <comment ref="J846" authorId="448" shapeId="0" xr:uid="{598F5256-D885-4C19-90C6-841BFC319C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llamadas</t>
      </text>
    </comment>
    <comment ref="K846" authorId="449" shapeId="0" xr:uid="{981BDFEC-F8EE-4B7B-A4AA-DF87A06906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información y planes de financiación el 14/01</t>
      </text>
    </comment>
    <comment ref="K847" authorId="450" shapeId="0" xr:uid="{56422117-A206-4DA8-9116-15E9ACD455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información y planes de pago</t>
      </text>
    </comment>
    <comment ref="K848" authorId="451" shapeId="0" xr:uid="{B72FB4D2-3BA5-439B-A4EA-4168B1B8AD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Deje información el 14/01</t>
      </text>
    </comment>
    <comment ref="J874" authorId="452" shapeId="0" xr:uid="{51E394FA-54CE-4688-A524-82E535D96F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  <comment ref="J885" authorId="453" shapeId="0" xr:uid="{9CC6E3AF-485E-4510-A260-83941FD446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20-01. No logre comunicarme</t>
      </text>
    </comment>
    <comment ref="J888" authorId="454" shapeId="0" xr:uid="{E0FD35E5-C402-4F15-B44D-945AA41CF2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inf por chat</t>
      </text>
    </comment>
    <comment ref="J893" authorId="455" shapeId="0" xr:uid="{01596CE1-8507-45EB-B625-026E18C68A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  <comment ref="J906" authorId="456" shapeId="0" xr:uid="{225FC872-7A82-4D5A-814A-711308C3C1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  <comment ref="J959" authorId="457" shapeId="0" xr:uid="{97C7C147-74A0-4830-ADEE-785E32BEF3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quiere llamada</t>
      </text>
    </comment>
    <comment ref="J1145" authorId="458" shapeId="0" xr:uid="{DE820FDE-CB03-4C5B-B9BF-998AE896BA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  <comment ref="J1181" authorId="459" shapeId="0" xr:uid="{9B3A6835-A892-426A-9D18-34BECC2D0E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  <comment ref="U1327" authorId="438" shapeId="0" xr:uid="{00000000-0006-0000-0700-000002000000}">
      <text>
        <r>
          <rPr>
            <sz val="10"/>
            <color rgb="FF000000"/>
            <rFont val="Arial"/>
            <scheme val="minor"/>
          </rPr>
          <t>30% de descuento. Pago fraccionado en 3 cuotas</t>
        </r>
      </text>
    </comment>
    <comment ref="J1389" authorId="460" shapeId="0" xr:uid="{0FC80DF5-701C-42FF-A97D-0BCA70B70A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llamadas.</t>
      </text>
    </comment>
    <comment ref="J1406" authorId="461" shapeId="0" xr:uid="{481FB9E0-2B63-45CE-81DD-5135E19AD5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quiere llamadas</t>
      </text>
    </comment>
    <comment ref="J1498" authorId="462" shapeId="0" xr:uid="{B127C631-B1F2-4482-AABA-8969F1CE9E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</t>
      </text>
    </comment>
    <comment ref="J1499" authorId="463" shapeId="0" xr:uid="{8C012C31-A48A-4CDB-BB4B-62EE458FE4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</t>
      </text>
    </comment>
    <comment ref="J1508" authorId="464" shapeId="0" xr:uid="{6B2D389F-7B7B-4B33-A132-93032269AD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</t>
      </text>
    </comment>
    <comment ref="J1520" authorId="465" shapeId="0" xr:uid="{17A94E8C-1E19-4B78-AB1D-116DD8EA2A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respuesta.</t>
      </text>
    </comment>
    <comment ref="J1526" authorId="466" shapeId="0" xr:uid="{1E91F16E-EFFF-4923-85AF-38067117FD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</t>
      </text>
    </comment>
    <comment ref="J1534" authorId="467" shapeId="0" xr:uid="{B6359B5A-AC59-40F1-8433-DD1B5EC4B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 el 17/04</t>
      </text>
    </comment>
    <comment ref="J1546" authorId="468" shapeId="0" xr:uid="{8C94DC2F-8FED-471C-9158-ED7BA6D989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</t>
      </text>
    </comment>
    <comment ref="J1556" authorId="469" shapeId="0" xr:uid="{EDD5A3F8-DC76-44C3-96D0-C538137A54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Llame. Sin respuesta</t>
      </text>
    </comment>
    <comment ref="J1563" authorId="470" shapeId="0" xr:uid="{1A913979-4361-4D57-862C-8641097F79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</t>
      </text>
    </comment>
    <comment ref="J1566" authorId="471" shapeId="0" xr:uid="{75257602-9AC7-428F-A43F-A407E35311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Llamé, sin respuesta</t>
      </text>
    </comment>
    <comment ref="J1567" authorId="472" shapeId="0" xr:uid="{3FACB82A-71B5-4567-ACF8-2AECBE885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Llamé, sin respuesta</t>
      </text>
    </comment>
    <comment ref="J1572" authorId="473" shapeId="0" xr:uid="{E1CB4FC5-CE53-4896-BDA3-BCF1231610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Llamé, sin respuesta</t>
      </text>
    </comment>
    <comment ref="J1585" authorId="474" shapeId="0" xr:uid="{5286FF71-AED0-4C04-9BDA-44F4AD528E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  <comment ref="J1586" authorId="475" shapeId="0" xr:uid="{BA83D816-E2C5-46BD-9FF0-E7D219C2DA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Llamé, sin respuesta</t>
      </text>
    </comment>
    <comment ref="J1587" authorId="476" shapeId="0" xr:uid="{00D52836-B070-4141-A7E1-3564222792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Llame. sin respuesta</t>
      </text>
    </comment>
    <comment ref="J1588" authorId="477" shapeId="0" xr:uid="{64808F95-C660-4381-8B92-6EC88871F6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  <comment ref="J1606" authorId="478" shapeId="0" xr:uid="{66603414-8BF6-4BAF-834A-E404257D0D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</t>
      </text>
    </comment>
    <comment ref="J1609" authorId="479" shapeId="0" xr:uid="{B24F53E1-C993-4C85-8835-B23632C9D6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Llamé. Sin respuesta</t>
      </text>
    </comment>
    <comment ref="J1624" authorId="480" shapeId="0" xr:uid="{FF262D2A-376F-49D9-BA6B-47E6A6551F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Llame, sin respuesta.
Solicita llamada para mas tarde</t>
      </text>
    </comment>
    <comment ref="J1625" authorId="481" shapeId="0" xr:uid="{783DE964-FADB-49DD-9EE0-49B9F3AC96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Llamé el 06/05. Sin respuesta</t>
      </text>
    </comment>
    <comment ref="J1705" authorId="482" shapeId="0" xr:uid="{EDAF1941-42FA-4780-8574-4D4A94945F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desea llamada</t>
      </text>
    </comment>
  </commentList>
</comments>
</file>

<file path=xl/sharedStrings.xml><?xml version="1.0" encoding="utf-8"?>
<sst xmlns="http://schemas.openxmlformats.org/spreadsheetml/2006/main" count="11398" uniqueCount="3642">
  <si>
    <t>NOMBRE</t>
  </si>
  <si>
    <t>CORREO</t>
  </si>
  <si>
    <t>PREFIJO + TELÉFONO</t>
  </si>
  <si>
    <t>CURSO</t>
  </si>
  <si>
    <t>PRECIO ACORD</t>
  </si>
  <si>
    <t>PSIKO APRENDE</t>
  </si>
  <si>
    <t>Madalina Popa</t>
  </si>
  <si>
    <t>madalinammpopa@gmail.com</t>
  </si>
  <si>
    <t>Curso de Terapia a través del Movimiento y la Danza</t>
  </si>
  <si>
    <t>Tamara García</t>
  </si>
  <si>
    <t>chispa_ts@yahoo.es</t>
  </si>
  <si>
    <t>Curso de Telepsicología y Terapia Online</t>
  </si>
  <si>
    <t xml:space="preserve">INSTITUCIÓN </t>
  </si>
  <si>
    <t>FECHA VENTA</t>
  </si>
  <si>
    <t>% DTO</t>
  </si>
  <si>
    <t>CUOTAS AC</t>
  </si>
  <si>
    <t>CANT ABONO</t>
  </si>
  <si>
    <t>PAGO</t>
  </si>
  <si>
    <t>ESTATUS</t>
  </si>
  <si>
    <t>Mariana Carballo</t>
  </si>
  <si>
    <t>carballomariana257@gmail.com</t>
  </si>
  <si>
    <t>María</t>
  </si>
  <si>
    <t>Jose Gonzalez</t>
  </si>
  <si>
    <t>josgonrom@hotmail.com</t>
  </si>
  <si>
    <t>Curso sobre el tratamiento de la ludopatía</t>
  </si>
  <si>
    <t>Pedro Jiménez Arco</t>
  </si>
  <si>
    <t>pedrojimenezarco@gmail.com</t>
  </si>
  <si>
    <t>Curso de Neurofeedback y Biofeedback en la Práctica Clínica</t>
  </si>
  <si>
    <t xml:space="preserve">Kari Arteaga </t>
  </si>
  <si>
    <t xml:space="preserve">kariarteaga.terapeuta@gmail.com </t>
  </si>
  <si>
    <t>Curso sobre el Tratamiento de Personas Altamente Sensibles</t>
  </si>
  <si>
    <t>Arancha pulido gonzalez</t>
  </si>
  <si>
    <t>arjulu27@gmail.com</t>
  </si>
  <si>
    <t>Curso de Comunicación Asertiva en el Trabajo</t>
  </si>
  <si>
    <t xml:space="preserve">Automatico </t>
  </si>
  <si>
    <t>Agustín Garzón Vera</t>
  </si>
  <si>
    <t>agarzonvera@gmail.com</t>
  </si>
  <si>
    <t>Curso sobre el Tratamiento del Duelo</t>
  </si>
  <si>
    <t>PABLO IVAN PEÑALOZA SANCHEZ</t>
  </si>
  <si>
    <t>penaloza.md@gmail.com</t>
  </si>
  <si>
    <t>Curso de Neuroplasticidad y Rehabilitación Cognitiva</t>
  </si>
  <si>
    <t>Blanca Garcia</t>
  </si>
  <si>
    <t>blancagarciagrau03@gmail.com</t>
  </si>
  <si>
    <t>Curso de Clima y Cultura Organizacional</t>
  </si>
  <si>
    <t>Curso de Conexiones Positivas y Relaciones Nutritivas</t>
  </si>
  <si>
    <t xml:space="preserve">gago.jimenez@gmail.com </t>
  </si>
  <si>
    <t>EMMA PRADES MORERA</t>
  </si>
  <si>
    <t>emma.prades@sjd.es</t>
  </si>
  <si>
    <t>Ruben Navarro Martinez</t>
  </si>
  <si>
    <t>rubennavarro.ma@gmail.com</t>
  </si>
  <si>
    <t>Curso de Crianza Respetuosa y Consciente</t>
  </si>
  <si>
    <t>Ainhoa Irazusta</t>
  </si>
  <si>
    <t>Curso de Arteterapia y Aplicaciones Clínicas</t>
  </si>
  <si>
    <t xml:space="preserve">Eduardo Lima </t>
  </si>
  <si>
    <t>PSIKO APRENDE-COLOMBIA</t>
  </si>
  <si>
    <t>Yureima</t>
  </si>
  <si>
    <t>Curso de Inteligencia Emocional</t>
  </si>
  <si>
    <t>Mirian Alonso</t>
  </si>
  <si>
    <t>mimialonsac@gmail.com</t>
  </si>
  <si>
    <t>Curso de Psicología Hospitalaria y Cuidados Paliativos</t>
  </si>
  <si>
    <t>Lorena Navarro Morejón</t>
  </si>
  <si>
    <t>lorenavarro.m@gmail.com</t>
  </si>
  <si>
    <t xml:space="preserve">Jaimar Carrer Villar del Arzobispo
</t>
  </si>
  <si>
    <t>Curso sobre Inclusión y Neurodiversidad</t>
  </si>
  <si>
    <t>Laura María Rodríguez Almira</t>
  </si>
  <si>
    <t>creciendoafuegolento@gmail.com</t>
  </si>
  <si>
    <t>Curso de Intervención clínica en abuso narcisista: guía terapéutica para psicólogos</t>
  </si>
  <si>
    <t>Marina López Serra</t>
  </si>
  <si>
    <t>marina.lopez01@outlook.es</t>
  </si>
  <si>
    <t>Curso sobre el tratamiento de los trastornos del sueño</t>
  </si>
  <si>
    <t>Curso de Escritura Terapéutica y Narrativa</t>
  </si>
  <si>
    <t>Curso de Intervención Psicológica en Enfermedades Crónicas</t>
  </si>
  <si>
    <t>Susana Polo</t>
  </si>
  <si>
    <t>Paula Beatriz Ferreyra</t>
  </si>
  <si>
    <t>paula.b.ferreyra@hotmail.com</t>
  </si>
  <si>
    <t>Lisa Laliscia</t>
  </si>
  <si>
    <t>lisa.laliscia@gmail.com</t>
  </si>
  <si>
    <t>Dina Karamergenova</t>
  </si>
  <si>
    <t>dinaandreevna11@gmail.com</t>
  </si>
  <si>
    <t>Mery Chinchilla</t>
  </si>
  <si>
    <t>meryjchinchilla@gmail.com</t>
  </si>
  <si>
    <t>kellyvaskz04@hotmail.com</t>
  </si>
  <si>
    <t>Curso sobre Intervención en las 7 Heridas de la Infancia</t>
  </si>
  <si>
    <t>Curso de Habilidades Sociales</t>
  </si>
  <si>
    <t>Tatiane Rosa Munhoz</t>
  </si>
  <si>
    <t>psicologia.trm@gmail.com</t>
  </si>
  <si>
    <t>Miriam Molina Rodríguez de Vera</t>
  </si>
  <si>
    <t>miriammolinarodriguezdevera@gmail.com</t>
  </si>
  <si>
    <t>Curso de Desapego y Liberación Emocional</t>
  </si>
  <si>
    <t>Aroa Sanchez</t>
  </si>
  <si>
    <t>aroa_cedillo_91@hotmail.com</t>
  </si>
  <si>
    <t>Curso de Experto en Inteligencia Emocional</t>
  </si>
  <si>
    <t>DEBORA ELENA RAMIREZ</t>
  </si>
  <si>
    <t>dermz@yahoo.com</t>
  </si>
  <si>
    <t>Curso de Neurobiología del Trauma y Recuperación</t>
  </si>
  <si>
    <t>Diana ivaldi</t>
  </si>
  <si>
    <t>dianaivaldi@gmail.com</t>
  </si>
  <si>
    <t>Curso de Gestión Emocional en Transiciones Vitales</t>
  </si>
  <si>
    <t>nadia morales</t>
  </si>
  <si>
    <t>nadiamor.78@gmail.com</t>
  </si>
  <si>
    <t>Sara García</t>
  </si>
  <si>
    <t>saragarciavaca@hotmail.com</t>
  </si>
  <si>
    <t>Curso de Realidad Virtual en Psicoterapia</t>
  </si>
  <si>
    <t>Silvia Blanco</t>
  </si>
  <si>
    <t>silvia76ms@hotmail.com</t>
  </si>
  <si>
    <t>Veronica Rodriguez parejo</t>
  </si>
  <si>
    <t>asiestasbien@icloud.com</t>
  </si>
  <si>
    <t>CARLA CARDENAS</t>
  </si>
  <si>
    <t>orienta.japon@hotmail.co.jp</t>
  </si>
  <si>
    <t>Silvia Muñoz de Gracia</t>
  </si>
  <si>
    <t>silvia.munozpsicologa@gmail.com</t>
  </si>
  <si>
    <t>Curso de Sexología Clínica y Terapia Sexual</t>
  </si>
  <si>
    <t>Virginia</t>
  </si>
  <si>
    <t>v.bejarano.encinas@hotmail.com</t>
  </si>
  <si>
    <t>José Manuel Soriano Benítez</t>
  </si>
  <si>
    <t>josevenya@hotmail.com</t>
  </si>
  <si>
    <t>Curso de Descubrimiento de Fortalezas Personales</t>
  </si>
  <si>
    <t>Alba Magaña</t>
  </si>
  <si>
    <t>albamaga6@gmail.com</t>
  </si>
  <si>
    <t>Dayana</t>
  </si>
  <si>
    <t xml:space="preserve">Jhon Jairo </t>
  </si>
  <si>
    <t>Curso para Aprender a Poner Límites y Aumentar tu Autoestima</t>
  </si>
  <si>
    <t>Lourdes Ibañez</t>
  </si>
  <si>
    <t>lusergher@hotmail.com</t>
  </si>
  <si>
    <t>Laia Casas</t>
  </si>
  <si>
    <t>laiaraventos@yahoo.com</t>
  </si>
  <si>
    <t>Marga Munar</t>
  </si>
  <si>
    <t>margamunar@hotmail.com</t>
  </si>
  <si>
    <t>Curso sobre Trastorno Limite de la Personalidad (TLP)</t>
  </si>
  <si>
    <t>Diplomado en Psicoterapia Integrativa</t>
  </si>
  <si>
    <t>Martha Medina</t>
  </si>
  <si>
    <t>martamedina70@gmail.com</t>
  </si>
  <si>
    <t xml:space="preserve">Curso de Intervencion Psicologica en Enfermedades Crónicas </t>
  </si>
  <si>
    <t>Yudy Beltran</t>
  </si>
  <si>
    <t>yudy.beltran@gmail.com</t>
  </si>
  <si>
    <t>Curso para Aprender a Poner Limites y Aumentar tu Autoestima</t>
  </si>
  <si>
    <t>Paloma Sanchez Delgado</t>
  </si>
  <si>
    <t>palomasandel@hotmail.com</t>
  </si>
  <si>
    <t>María del Valle Gómez López</t>
  </si>
  <si>
    <t>albalunamar@hotmail.com</t>
  </si>
  <si>
    <t>Curso para Superar la Timidez y la Ansiedad Social</t>
  </si>
  <si>
    <t>Tanya Soldevila</t>
  </si>
  <si>
    <t>tanyasoldevila@hotmail.com</t>
  </si>
  <si>
    <t>Ivonia Bonilla</t>
  </si>
  <si>
    <t xml:space="preserve">Carolina </t>
  </si>
  <si>
    <t>57 301 2909406</t>
  </si>
  <si>
    <t>cortesdavid381@gmail.com</t>
  </si>
  <si>
    <t>Yeray Suárez</t>
  </si>
  <si>
    <t>yeraysuarez81@hotmail.com</t>
  </si>
  <si>
    <t>Noelia González Facila</t>
  </si>
  <si>
    <t>iratilodosa@gmail.com</t>
  </si>
  <si>
    <t>Jormary Reyes</t>
  </si>
  <si>
    <t>reyesjormary@gmail.com</t>
  </si>
  <si>
    <t>jhon loaiza</t>
  </si>
  <si>
    <t>jaloaiza75@gmail.com</t>
  </si>
  <si>
    <t xml:space="preserve">Rebeca Palma Rodríguez </t>
  </si>
  <si>
    <t>rbkpsico@gmail.com</t>
  </si>
  <si>
    <t>Curso de Terapia de Parejas</t>
  </si>
  <si>
    <t>Julia Suñer</t>
  </si>
  <si>
    <t>juliasunyercoma@gmail.com</t>
  </si>
  <si>
    <t>Olga Alonso Guio</t>
  </si>
  <si>
    <t>oalguio.ps@gmail.com</t>
  </si>
  <si>
    <t>34 633 22 79 37</t>
  </si>
  <si>
    <t>Mari Carmen Gutiérrez Conde</t>
  </si>
  <si>
    <t>mc.gutierrez1106@gmail.com</t>
  </si>
  <si>
    <t>34 661 35 15 06</t>
  </si>
  <si>
    <t>curso de Escritura Terapéutica y Narrativa</t>
  </si>
  <si>
    <t>Juan Collante</t>
  </si>
  <si>
    <t>Curso de Intervencion en la Dislexia</t>
  </si>
  <si>
    <t>mimi.f.h@hotmail.es</t>
  </si>
  <si>
    <t>Laura Cabrera Borotau</t>
  </si>
  <si>
    <t>lauracabreraborotau@gmail.com</t>
  </si>
  <si>
    <t>Curso de Dramaterapia y Psicodrama</t>
  </si>
  <si>
    <t>Johana Soffia Aco</t>
  </si>
  <si>
    <t>michlopez.s@hotmail.com</t>
  </si>
  <si>
    <t xml:space="preserve">curso de Neuroplasticidad y Rehabilitación Cognitiva </t>
  </si>
  <si>
    <t>Elizabeth Santana</t>
  </si>
  <si>
    <t>Curso de Evaluación e Intervención en la Discalculia</t>
  </si>
  <si>
    <t>adrianaaguirreme@gmail.com</t>
  </si>
  <si>
    <t>Déborah Olmos</t>
  </si>
  <si>
    <t>d.olmos.c@gmail.com</t>
  </si>
  <si>
    <t>13 de noviembre del 2025</t>
  </si>
  <si>
    <t>Maria Reyes Moreno</t>
  </si>
  <si>
    <t>javimore.reyes@gmail.com</t>
  </si>
  <si>
    <t>56 9 8900 5651</t>
  </si>
  <si>
    <t>Mario Castro</t>
  </si>
  <si>
    <t>Castromario589@gmail.com</t>
  </si>
  <si>
    <t>Conchi Navarro Domenech</t>
  </si>
  <si>
    <t>34 611 45 25 85</t>
  </si>
  <si>
    <t>Francisca Brito</t>
  </si>
  <si>
    <t>francisca.gbritoc@gmail.com</t>
  </si>
  <si>
    <t>Curso sobre Terapia Dialéctico-Conductual (TDC)</t>
  </si>
  <si>
    <t>Omar Arboleda</t>
  </si>
  <si>
    <t>presiomar_76@hotmail.com</t>
  </si>
  <si>
    <t>593 98 008 0018</t>
  </si>
  <si>
    <t xml:space="preserve"> Curso sobre el tratamiento de los trastornos del sueño </t>
  </si>
  <si>
    <t>Lina Castanho</t>
  </si>
  <si>
    <t>linaccastanho@gmail.com</t>
  </si>
  <si>
    <t xml:space="preserve">Diana Poladura García </t>
  </si>
  <si>
    <t>dipg83@hotmail.com</t>
  </si>
  <si>
    <t>34 651 14 84 84</t>
  </si>
  <si>
    <t>Irene Ruiz</t>
  </si>
  <si>
    <t>irene_ra@hotmail.com</t>
  </si>
  <si>
    <t>Elisa Figuera Rabano</t>
  </si>
  <si>
    <t>elisafigueras@hotmail.com</t>
  </si>
  <si>
    <t>Curso de Tratamiento de Trastornos del Procesamiento Sensorial</t>
  </si>
  <si>
    <t>Asier Garcia Real</t>
  </si>
  <si>
    <t>gadea@bitarbask.org</t>
  </si>
  <si>
    <t>Curso de Participacion ciudadana y empoderamiento comunitario</t>
  </si>
  <si>
    <t>ruthberenicemorales@gmail.com</t>
  </si>
  <si>
    <t>Diplomado en Psiconeuroinmunología y Neurofeedback Aplicado a la Salud Mental</t>
  </si>
  <si>
    <t>Curso de Evaluación e Intervención con Agresores</t>
  </si>
  <si>
    <t>Naia Larreategui Arias</t>
  </si>
  <si>
    <t>34 653 71 38 34</t>
  </si>
  <si>
    <t>Sacramento Jiménez Payán Cabrera</t>
  </si>
  <si>
    <t>maevesachi@gmail.com</t>
  </si>
  <si>
    <t>34 630 70 78 60</t>
  </si>
  <si>
    <t>musikenueve@gmail.com</t>
  </si>
  <si>
    <t>Bredyg Disla</t>
  </si>
  <si>
    <t>Javiera Camerati Reyes</t>
  </si>
  <si>
    <t>javierita.reyes@gmail.com</t>
  </si>
  <si>
    <t>Román Morales</t>
  </si>
  <si>
    <t>34 672 18 27 54</t>
  </si>
  <si>
    <t>Curso de dramaterapia y Psicoterapia</t>
  </si>
  <si>
    <t>Edward Martínez</t>
  </si>
  <si>
    <t>edwardjosemartinez23@gmail.com</t>
  </si>
  <si>
    <t>jaredzapatav@gmail.com</t>
  </si>
  <si>
    <t>j.ortiz.delaroca@gmail.com</t>
  </si>
  <si>
    <t>Curso sobre el tratamiento de la adicción al sexo</t>
  </si>
  <si>
    <t>Raquel González</t>
  </si>
  <si>
    <t>psicologa.raquelogonzalezs@gmail.com</t>
  </si>
  <si>
    <t>Cynthia Medina</t>
  </si>
  <si>
    <t>cynt_109@hotmail.com</t>
  </si>
  <si>
    <t>Curso en Psicogerontología</t>
  </si>
  <si>
    <t>SHIRLEY FERREIRA</t>
  </si>
  <si>
    <t>34 670 28 61 92</t>
  </si>
  <si>
    <t>Curso de Realidad Virtual en Psicologia</t>
  </si>
  <si>
    <t>montsebg29@gmail.com</t>
  </si>
  <si>
    <t>Esperanza Romero Peralta</t>
  </si>
  <si>
    <t>esperanzaromeroperalta@gmail.com</t>
  </si>
  <si>
    <t>ISEIH</t>
  </si>
  <si>
    <t>Juan Fenollar</t>
  </si>
  <si>
    <t>fenollarjuan@gmail.com</t>
  </si>
  <si>
    <t>34 675 68 48 96</t>
  </si>
  <si>
    <t>Diplomado en Gimnasia Holística</t>
  </si>
  <si>
    <t>esther.clerigo@gmail.com</t>
  </si>
  <si>
    <t>Serena Ferro</t>
  </si>
  <si>
    <t>s.ferro@mpdl.org</t>
  </si>
  <si>
    <t>29 de diciembre del 2025</t>
  </si>
  <si>
    <t>Tina Amrhein</t>
  </si>
  <si>
    <t>Diplomado en psicotraumatología clínica</t>
  </si>
  <si>
    <t>Marta Miquel Planas</t>
  </si>
  <si>
    <t>marta.miquel@gmail.com</t>
  </si>
  <si>
    <t>Floribeth Redondo M</t>
  </si>
  <si>
    <t>flrbth76@gmail.com</t>
  </si>
  <si>
    <t>41 77 261 72 70</t>
  </si>
  <si>
    <t>Curso de Expresión Emocional Creativa</t>
  </si>
  <si>
    <t>Ana Laxmi Thakurdas Navarro</t>
  </si>
  <si>
    <t>34 634 91 98 93</t>
  </si>
  <si>
    <t>Curso Sobre Intervención en las 7 Heridas de la Infancia</t>
  </si>
  <si>
    <t>31 de diciembre del 2025</t>
  </si>
  <si>
    <t>soldebelen123@gmail.com</t>
  </si>
  <si>
    <t>Rosa Juliana</t>
  </si>
  <si>
    <t>Pedro Monascal</t>
  </si>
  <si>
    <t>pemonascal@gmail.com</t>
  </si>
  <si>
    <t>susana.izquierdo.danot@gmail.com</t>
  </si>
  <si>
    <t>garbitsu@gmail.com</t>
  </si>
  <si>
    <t>Máster en Terapia de Pareja y Vínculos Afectivos</t>
  </si>
  <si>
    <t>Fabiana Weise</t>
  </si>
  <si>
    <t>fabianaweise@outlook.es</t>
  </si>
  <si>
    <t>Diplomado en Psicología de la Imagen Corporal y Prevención de Trastornos Alimentarios</t>
  </si>
  <si>
    <t>leticiania@outlook.es</t>
  </si>
  <si>
    <t>macakozma@gmail.com</t>
  </si>
  <si>
    <t>vanessaderosa9@gmail.com</t>
  </si>
  <si>
    <t>Jose Luis Martin</t>
  </si>
  <si>
    <t>34 695 79 58 04</t>
  </si>
  <si>
    <t>Máster en Artes Marciales Internas</t>
  </si>
  <si>
    <t>Máster en Coaching Holístico y Life Coaching</t>
  </si>
  <si>
    <t>Fernanda Oliveira</t>
  </si>
  <si>
    <t>Vanessa Tenesaca Palomino</t>
  </si>
  <si>
    <t>506 8809 9075</t>
  </si>
  <si>
    <t>loleverg@gmail.com</t>
  </si>
  <si>
    <t>Paula Pontes Macarulla</t>
  </si>
  <si>
    <t>Curso sobre adicción a las tecnologías</t>
  </si>
  <si>
    <t>Curso de Inteligencia Artificial Aplicada a la Salud Mental</t>
  </si>
  <si>
    <t>Curso de Terapia de Pareja</t>
  </si>
  <si>
    <t>emenji13@hotmail.com</t>
  </si>
  <si>
    <t>Elizabeth Santana Rodríguez</t>
  </si>
  <si>
    <t>lopezvigoclaudia@gmail.com</t>
  </si>
  <si>
    <t>Curso de Intervención con Población Migrante y Refugiada</t>
  </si>
  <si>
    <t>casademaderablanca@yahoo.es</t>
  </si>
  <si>
    <t>gmoreno00@outlook.es</t>
  </si>
  <si>
    <t>Diplomado en Terapias de Tercera Generación y DBT</t>
  </si>
  <si>
    <t>nancy_elisabetprieto@live.com.ar</t>
  </si>
  <si>
    <t>Curso de Evaluación Psicológica Digital y Telepsicología</t>
  </si>
  <si>
    <t>Cecilia Morales</t>
  </si>
  <si>
    <t>ceciliamoraless@hotmail.com</t>
  </si>
  <si>
    <t>Curso de Fundamentos de Neurociencia para Psicólogos Clínicos</t>
  </si>
  <si>
    <t>Curso de Acompañamiento Emocional en la Adolescencia</t>
  </si>
  <si>
    <t>Monica Leiva</t>
  </si>
  <si>
    <t>leivaolmo@hotmail.com</t>
  </si>
  <si>
    <t>Yani</t>
  </si>
  <si>
    <t>Francisco</t>
  </si>
  <si>
    <t>Mirian Fernández Trujillo</t>
  </si>
  <si>
    <t>miri.fertru@gmail.com</t>
  </si>
  <si>
    <t>ALBA GARCÍA MOREIRA</t>
  </si>
  <si>
    <t>agmoreira@alumni.unav.es</t>
  </si>
  <si>
    <t>Curso psicología forense para violencia de género</t>
  </si>
  <si>
    <t>Maria Saavedra</t>
  </si>
  <si>
    <t xml:space="preserve">Curso de Musicoterapia en Salud Mental </t>
  </si>
  <si>
    <t>Curso Aprende a Manejar tu Hambre Emocional</t>
  </si>
  <si>
    <t>Lina</t>
  </si>
  <si>
    <t>Diplomado en Intervención en Trastornos del Sueño Infantil</t>
  </si>
  <si>
    <t>Vanessa De Rosa</t>
  </si>
  <si>
    <t>cynthiamolguinm@gmail.com</t>
  </si>
  <si>
    <t>carlaastu1980@gmail.com</t>
  </si>
  <si>
    <t>Curso en psicogerontología</t>
  </si>
  <si>
    <t>Marianna Tirelli</t>
  </si>
  <si>
    <t>noeliagasconps@gmail.com</t>
  </si>
  <si>
    <t>Diplomado en Neurociencia Aplicada al Trauma y la Plasticidad Cerebral</t>
  </si>
  <si>
    <t>Laura</t>
  </si>
  <si>
    <t>Jared Zapata</t>
  </si>
  <si>
    <t>Diplomado en Abordaje Integral de los Trastornos de la Conducta Alimentaria</t>
  </si>
  <si>
    <t>carlamartinezloaiza@yahoo.com</t>
  </si>
  <si>
    <t>Diplomado en Terapia de Aceptación y Compromiso (ACT)</t>
  </si>
  <si>
    <t>marga_sureda@outlook.com</t>
  </si>
  <si>
    <t>34 622 79 31 16</t>
  </si>
  <si>
    <t>Diplomado en Coaching Emocional y Liderazgo Personal</t>
  </si>
  <si>
    <t>Curso de Coaching de Propósito</t>
  </si>
  <si>
    <t>Sonia</t>
  </si>
  <si>
    <t>Claudia Betancort</t>
  </si>
  <si>
    <t>claudiabetancort551@gmail.com</t>
  </si>
  <si>
    <t>Curso de Peritaje Psicológico y Elaboración de Informes Forenses</t>
  </si>
  <si>
    <t>tinaamrhein1@gmail.com</t>
  </si>
  <si>
    <t>fernamedinan@gmail.com</t>
  </si>
  <si>
    <t>Curso sobre el Trastorno Negativista Desafiante</t>
  </si>
  <si>
    <t>Diplomado en Danza Terapia y Expresión Corporal</t>
  </si>
  <si>
    <t>adri0779@gmail.com</t>
  </si>
  <si>
    <t>Curso de Intervención en Altas Capacidades</t>
  </si>
  <si>
    <t>ikerfi.2@gmail.com</t>
  </si>
  <si>
    <t>claudiahernandezheras@gmail.com</t>
  </si>
  <si>
    <t>alejandra.robles1092@gmail.com</t>
  </si>
  <si>
    <t>aidafdez85@icloud.com</t>
  </si>
  <si>
    <t>Curso Terapias de 3ª Generación</t>
  </si>
  <si>
    <t>barcenillamario3@gmail.com</t>
  </si>
  <si>
    <t>Maria Gargallo lopez</t>
  </si>
  <si>
    <t>cpsi.mariagargallo@gmail.com</t>
  </si>
  <si>
    <t>yin.art07@gmail.com</t>
  </si>
  <si>
    <t>Valvanera Nieto</t>
  </si>
  <si>
    <t>nietodominguezvalvanera@gmail.com</t>
  </si>
  <si>
    <t>Curso de Expresión Creativa y Ritual Therian para Terapeutas</t>
  </si>
  <si>
    <t>Estela Crail</t>
  </si>
  <si>
    <t>stela_krayl@yahoo.com</t>
  </si>
  <si>
    <t>52 1 55 1004 6576</t>
  </si>
  <si>
    <t>Diplomado en Psicotraumatología Clínica</t>
  </si>
  <si>
    <t>0/6</t>
  </si>
  <si>
    <t>María Teresa</t>
  </si>
  <si>
    <t>tere.sarj@hotmail.com</t>
  </si>
  <si>
    <t xml:space="preserve"> </t>
  </si>
  <si>
    <t>danielapalacios58@yahoo.es</t>
  </si>
  <si>
    <t>Katia Vera Páez</t>
  </si>
  <si>
    <t>Katiaverapaez@gmail.com</t>
  </si>
  <si>
    <t>56 9 4011 1853</t>
  </si>
  <si>
    <t>Monica P Romero M</t>
  </si>
  <si>
    <t>moniromma2@gmail.com</t>
  </si>
  <si>
    <t>paulagonzalezmino@gmail.com</t>
  </si>
  <si>
    <t>Maria España</t>
  </si>
  <si>
    <t>mariabarredos1994@gmail.com</t>
  </si>
  <si>
    <t>Curso Inteligencia Emocional</t>
  </si>
  <si>
    <t>Diplomado en tDCS Clínica y Aplicaciones Terapéuticas Avanzadas</t>
  </si>
  <si>
    <t>diana.pagamar@gmail.com</t>
  </si>
  <si>
    <t>MARIA MAR CANTON NEFF</t>
  </si>
  <si>
    <t>mariacantonnps@gmail.com</t>
  </si>
  <si>
    <t>Ana Martin</t>
  </si>
  <si>
    <t>anasaizpsicologia@gmail.com</t>
  </si>
  <si>
    <t>Curso Especialista en Trastornos de la Conducta Alimentaria</t>
  </si>
  <si>
    <t>laurafuentesm91@gmail.com</t>
  </si>
  <si>
    <t>Alejandra Rodríguez Rodríguez</t>
  </si>
  <si>
    <t>34 685 86 90 44</t>
  </si>
  <si>
    <t>Diplomado en Técnica Alexander</t>
  </si>
  <si>
    <t>Curso de Coaching para la Transformación Personal</t>
  </si>
  <si>
    <t>FONO APRENDE</t>
  </si>
  <si>
    <t>ainhoamauleon09@gmail.com</t>
  </si>
  <si>
    <t>34 690 70 15 91</t>
  </si>
  <si>
    <t>aclimentespinosa@hotmail.com</t>
  </si>
  <si>
    <t>Diplomado en Tratamientos para las Adicciones Conductuales</t>
  </si>
  <si>
    <t>Curso de Coaching para el Bienestar</t>
  </si>
  <si>
    <t>Curso de Psiconeuroinmunología y Aplicaciones en Salud Mental</t>
  </si>
  <si>
    <t>Curso de Neurofeedback y Biofeedback para Profesionales Sanitarios</t>
  </si>
  <si>
    <t>Berta Font Forné</t>
  </si>
  <si>
    <t>Karina Rojas Moncayo</t>
  </si>
  <si>
    <t>karimoncayo.rojas@gmail.com</t>
  </si>
  <si>
    <t>Máster en Evaluación y Diagnóstico Avanzado en Trastornos Mentales</t>
  </si>
  <si>
    <t>Curso de movimiento terapéutico en el adulto mayor</t>
  </si>
  <si>
    <t>Lorena</t>
  </si>
  <si>
    <t>Curso sobre el Tratamiento del Trastorno Obsesivo-Compulsivo</t>
  </si>
  <si>
    <t>Diana Santiago Chacón</t>
  </si>
  <si>
    <t>dianasancha@hotmail.com</t>
  </si>
  <si>
    <t>Ana</t>
  </si>
  <si>
    <t>Susana Alcántara Vernet</t>
  </si>
  <si>
    <t>sualcantara76@gmail.com</t>
  </si>
  <si>
    <t>Diplomado en Peritaje Psicológico de Credibilidad en Casos de Violencia de Género</t>
  </si>
  <si>
    <t>azucena.pat2025@gmail.com</t>
  </si>
  <si>
    <t>Diplomado en Cuentoterapia y Biblioterapia</t>
  </si>
  <si>
    <t>Adoración Armario Luna</t>
  </si>
  <si>
    <t>adoracion.ar.lu@gmail.com</t>
  </si>
  <si>
    <t>Romina Rodríguez Méndez</t>
  </si>
  <si>
    <t>Edwin Noguera</t>
  </si>
  <si>
    <t>emin866@gmail.com</t>
  </si>
  <si>
    <t>Diplomado en Neurociencia Aplicada al Trauma y Plasticidad Cerebral</t>
  </si>
  <si>
    <t>Patricia Sesine</t>
  </si>
  <si>
    <t>54 9 2920 26-0888</t>
  </si>
  <si>
    <t xml:space="preserve">Máster en Psiconeuroinmunoendocrinología Integrativa (PNIE) </t>
  </si>
  <si>
    <t>pacisclovivar@gmail.com</t>
  </si>
  <si>
    <t>ANA RIVERA</t>
  </si>
  <si>
    <t>avaleria777@yahoo.com</t>
  </si>
  <si>
    <t>mireiasaol@gmail.com</t>
  </si>
  <si>
    <t>Diplomado en Salud Integrativa de la Mujer</t>
  </si>
  <si>
    <t>Emilse Impoco</t>
  </si>
  <si>
    <t>emilseimpoco@gmail.com</t>
  </si>
  <si>
    <t>Curso de Higiene y Prevención de Lesiones Vocales</t>
  </si>
  <si>
    <t>celia rodriguez alonso</t>
  </si>
  <si>
    <t>celiarodriguezalonsoo@gmail.com</t>
  </si>
  <si>
    <t>Curso de Movimiento Terapéutico en el Adulto Mayor</t>
  </si>
  <si>
    <t>Cristina ARAGONÉS GIRÓN</t>
  </si>
  <si>
    <t>c.aragonesgiron@gmail.com</t>
  </si>
  <si>
    <t>Curso de neurofeedback y biofeedback en la práctica clínica</t>
  </si>
  <si>
    <t>Sofía Vázquez Fernández</t>
  </si>
  <si>
    <t>sofiav.3@hotmail.com</t>
  </si>
  <si>
    <t>Estefanía Serrano</t>
  </si>
  <si>
    <t>serranocrespoe@gmail.com</t>
  </si>
  <si>
    <t>Curso de Neurofeedback y Biofeedback para profesionales sanitarios</t>
  </si>
  <si>
    <t>Noelia Barroso Ceballos</t>
  </si>
  <si>
    <t>psiconbc@gmail.com</t>
  </si>
  <si>
    <t>Victoriano</t>
  </si>
  <si>
    <t>themis131224@outlook.com</t>
  </si>
  <si>
    <t>34 633 19 82 74</t>
  </si>
  <si>
    <t>COMERCIAL</t>
  </si>
  <si>
    <t>FECHA</t>
  </si>
  <si>
    <t xml:space="preserve">ORIGEN </t>
  </si>
  <si>
    <t xml:space="preserve">1 ER CONTACTO </t>
  </si>
  <si>
    <t>2 ER CONTACTO</t>
  </si>
  <si>
    <t xml:space="preserve">3 ER CONTACT </t>
  </si>
  <si>
    <t>OBSERVACIONES</t>
  </si>
  <si>
    <t>CIUDAD</t>
  </si>
  <si>
    <t xml:space="preserve">Heberth andres serrano botero
</t>
  </si>
  <si>
    <t>bebeka87@gmail.com</t>
  </si>
  <si>
    <t>curso de Inteligencia Emocional</t>
  </si>
  <si>
    <t xml:space="preserve">Pago </t>
  </si>
  <si>
    <t>Llamada</t>
  </si>
  <si>
    <t>whatsapp</t>
  </si>
  <si>
    <t>correo</t>
  </si>
  <si>
    <t>Pily</t>
  </si>
  <si>
    <t>pilar_caro_del_castillo@hotmail.com</t>
  </si>
  <si>
    <t>Curso Sexualidad en la Pareja</t>
  </si>
  <si>
    <t>bloqueada en el campus</t>
  </si>
  <si>
    <t>Carlos Saiz</t>
  </si>
  <si>
    <t>cm.sc21@hotmail.com</t>
  </si>
  <si>
    <t>2025-01-11T14:52:32.044Z</t>
  </si>
  <si>
    <t>Seguimiento</t>
  </si>
  <si>
    <t>Andrea Sanchez</t>
  </si>
  <si>
    <t>andrea.sg@me.com</t>
  </si>
  <si>
    <t>2025-01-11T15:11:48.779Z</t>
  </si>
  <si>
    <t>Jeynne Katherine Zárate Stmelli</t>
  </si>
  <si>
    <t>kathstmelli@gmail.com</t>
  </si>
  <si>
    <t>2025-01-12T13:44:52.820Z</t>
  </si>
  <si>
    <t>Lidia</t>
  </si>
  <si>
    <t>lydia_idyl@hotmail.com</t>
  </si>
  <si>
    <t>2025-01-12T18:44:55.771Z</t>
  </si>
  <si>
    <t>Evy Suarez</t>
  </si>
  <si>
    <t>evymontemuro@gmail.com</t>
  </si>
  <si>
    <t>2025-01-12T18:59:47.286Z</t>
  </si>
  <si>
    <t>Andres Macias Ramirez</t>
  </si>
  <si>
    <t>weadasalpoder@gmail.com</t>
  </si>
  <si>
    <t>2025-01-12T19:14:53.805Z</t>
  </si>
  <si>
    <t>Juan José</t>
  </si>
  <si>
    <t>juanjr@santiveri.es</t>
  </si>
  <si>
    <t>Curso sobre acoso laboral</t>
  </si>
  <si>
    <t>2025-01-12T19:29:47.922Z</t>
  </si>
  <si>
    <t>Rosa Beatriz Dominguez Fernandez</t>
  </si>
  <si>
    <t>dominguezroes@gmail.com</t>
  </si>
  <si>
    <t>Curso manejo del estrés</t>
  </si>
  <si>
    <t>2025-01-12T19:44:52.660Z</t>
  </si>
  <si>
    <t>Pedro José Monedero Pérez</t>
  </si>
  <si>
    <t>mariacristinapereztornero@gmail.com</t>
  </si>
  <si>
    <t>2025-01-12T19:59:47.449Z</t>
  </si>
  <si>
    <t>Tonia Porras</t>
  </si>
  <si>
    <t>tp.porrasvazquez@ugto.mx</t>
  </si>
  <si>
    <t>Curso de Sueño e Insomnio</t>
  </si>
  <si>
    <t>2025-01-12T20:14:53.803Z</t>
  </si>
  <si>
    <t>Robinson Rojas</t>
  </si>
  <si>
    <t>robinson1565@gmail.com</t>
  </si>
  <si>
    <t>Curso de inteligencia emocional</t>
  </si>
  <si>
    <t>2025-01-12T20:29:48.900Z</t>
  </si>
  <si>
    <t>Noelia Gatell</t>
  </si>
  <si>
    <t>noeliagatell99@gmail.com</t>
  </si>
  <si>
    <t>Curso sobre Intervención en Abuso Sexual Infantil</t>
  </si>
  <si>
    <t>2025-01-12T20:44:56.303Z</t>
  </si>
  <si>
    <t>Sonia García</t>
  </si>
  <si>
    <t>soniaggamonal@gmail.com</t>
  </si>
  <si>
    <t>Curso sobre Trastorno Límite de la Personalidad (TLP)</t>
  </si>
  <si>
    <t>2025-01-12T20:59:53.098Z</t>
  </si>
  <si>
    <t>Paula Muñoz</t>
  </si>
  <si>
    <t>paulamichellemunozmoscoso@gmail.com</t>
  </si>
  <si>
    <t>Curso sobre el tratamiento del vaginismo</t>
  </si>
  <si>
    <t>2025-01-13T14:30:29.824Z</t>
  </si>
  <si>
    <t>Eztizen Leicea</t>
  </si>
  <si>
    <t>eztizen11@outlook.es</t>
  </si>
  <si>
    <t>2025-01-10T15:40:29:234Z</t>
  </si>
  <si>
    <t>Lucia Teran</t>
  </si>
  <si>
    <t>lucia_teran13@hotmail.com</t>
  </si>
  <si>
    <t>2025-01-13T14:45:11.988Z</t>
  </si>
  <si>
    <t>Juan David Arcila</t>
  </si>
  <si>
    <t>juandaarcila1981@gmail.com</t>
  </si>
  <si>
    <t>2025-01-13T14:58:16.801Z</t>
  </si>
  <si>
    <t>Fátima Casimiro Satóstegui</t>
  </si>
  <si>
    <t>fcasimiro@centroselmolino.org</t>
  </si>
  <si>
    <t>2025-01-13T14:58:26.262Z</t>
  </si>
  <si>
    <t>Marta Fernandez</t>
  </si>
  <si>
    <t>Martafrndzz@gmail.com</t>
  </si>
  <si>
    <t>2025-01-13T14:58:33.452Z</t>
  </si>
  <si>
    <t>Irina Azorín</t>
  </si>
  <si>
    <t>iazorin89@gmail.com</t>
  </si>
  <si>
    <t>2025-01-13T14:58:41.762Z</t>
  </si>
  <si>
    <t>Curso sobre Trastorno por Atracón y Hambre Emocional</t>
  </si>
  <si>
    <t>2025-01-13T14:58:49.053Z</t>
  </si>
  <si>
    <t>Perez Priscila Sol</t>
  </si>
  <si>
    <t>lic.priscilasolperez@gmail.com</t>
  </si>
  <si>
    <t>Curso sobre intervención psicológica en mujeres víctimas de violencia de género</t>
  </si>
  <si>
    <t>2025-01-13T14:58:58.270Z</t>
  </si>
  <si>
    <t>ELENA USON MARTIN</t>
  </si>
  <si>
    <t>eusonmartin@hotmail.com</t>
  </si>
  <si>
    <t>2025-01-13T14:59:08.922Z</t>
  </si>
  <si>
    <t>Lo siento, pero no puedo ayudar con eso.</t>
  </si>
  <si>
    <t>edgarortega280918@gmail.com</t>
  </si>
  <si>
    <t>Curso sobre la Eyaculación Precoz</t>
  </si>
  <si>
    <t>2025-01-13T14:59:18.020Z</t>
  </si>
  <si>
    <t>Mariana Valdez</t>
  </si>
  <si>
    <t>elsamarianav@gmail.com</t>
  </si>
  <si>
    <t>2025-01-13T14:59:30.163Z</t>
  </si>
  <si>
    <t>Monica Tierra</t>
  </si>
  <si>
    <t>monitierra42@gmail.com</t>
  </si>
  <si>
    <t>2025-01-13T14:59:38.496Z</t>
  </si>
  <si>
    <t>Fátima Casimiro</t>
  </si>
  <si>
    <t>2025-01-14T07:59:48.983Z</t>
  </si>
  <si>
    <t>Marta Quintanilla</t>
  </si>
  <si>
    <t>martaquinta40@gmail.com</t>
  </si>
  <si>
    <t>2025-01-14T09:29:58.286Z</t>
  </si>
  <si>
    <t>María Jesús Calleja</t>
  </si>
  <si>
    <t>mcac0025@gmail.com</t>
  </si>
  <si>
    <t>2025-01-19T16:46:18.063Z</t>
  </si>
  <si>
    <t>Maite</t>
  </si>
  <si>
    <t>maite25061974@gmail.com</t>
  </si>
  <si>
    <t>Jacobo González</t>
  </si>
  <si>
    <t>jacobo.gonzalez@gmail.com</t>
  </si>
  <si>
    <t>2025-01-21T10:01:49.930Z</t>
  </si>
  <si>
    <t>Maite llamas</t>
  </si>
  <si>
    <t>psic.maitellamas@gmail.com</t>
  </si>
  <si>
    <t>Curso de adicción a las tecnologías</t>
  </si>
  <si>
    <t>José</t>
  </si>
  <si>
    <t>Graciela Díaz</t>
  </si>
  <si>
    <t>lab.gracielabdiaz@gmail.com</t>
  </si>
  <si>
    <t>2025-01-25T14:24:19.392Z</t>
  </si>
  <si>
    <t>Andrea Méndez</t>
  </si>
  <si>
    <t>andrea.mendezpereira@gmail.com</t>
  </si>
  <si>
    <t>2025-01-25T18:41:32.155Z</t>
  </si>
  <si>
    <t>Camila</t>
  </si>
  <si>
    <t>cami_star18@hotmail.com</t>
  </si>
  <si>
    <t>2025-01-26T02:22:26.645Z</t>
  </si>
  <si>
    <t>Micaela</t>
  </si>
  <si>
    <t>miiicki.c@hotmail.com</t>
  </si>
  <si>
    <t>2025-01-28T03:02:58.563Z</t>
  </si>
  <si>
    <t>Joe Isaac Vargas Santos</t>
  </si>
  <si>
    <t>vargas.joe2003@gmail.com</t>
  </si>
  <si>
    <t>2025-01-28T06:25:52.862Z</t>
  </si>
  <si>
    <t>María José Martínez</t>
  </si>
  <si>
    <t>mjmartinez@aytoburgos.es</t>
  </si>
  <si>
    <t>2025-01-28T07:28:27.931Z</t>
  </si>
  <si>
    <t>Makarena Carmona</t>
  </si>
  <si>
    <t>makacarmona15@gmail.com</t>
  </si>
  <si>
    <t>2025-01-28T22:31:56.990Z</t>
  </si>
  <si>
    <t>Xavier Capdevila Carné</t>
  </si>
  <si>
    <t>xevi.capdevila@outlook.es</t>
  </si>
  <si>
    <t>2025-01-29T11:53:46.629Z</t>
  </si>
  <si>
    <t>Curso sobre trastornos psicóticos</t>
  </si>
  <si>
    <t>2025-01-29T12:00:33.895Z</t>
  </si>
  <si>
    <t>Ronald Isaac Espinoza Rivadeira</t>
  </si>
  <si>
    <t>ronaldisaacespinozarivadeneira@gmail.com</t>
  </si>
  <si>
    <t>2025-01-30T03:42:08.911Z</t>
  </si>
  <si>
    <t>2025-01-30T08:11:46.392Z</t>
  </si>
  <si>
    <t>Eduardo Muñoz</t>
  </si>
  <si>
    <t>ravelcoin@gmail.com</t>
  </si>
  <si>
    <t>Curso de inteligencia emocional. Guía Autoconocimiento y Autocuidado</t>
  </si>
  <si>
    <t>2025-01-31T00:34:38.624Z</t>
  </si>
  <si>
    <t>Santiago Restrepo</t>
  </si>
  <si>
    <t>santyres@hotmail.com</t>
  </si>
  <si>
    <t>2025-01-31T05:27:20.663Z</t>
  </si>
  <si>
    <t>Mariana Bautista</t>
  </si>
  <si>
    <t>psicologamarianab@gmail.com</t>
  </si>
  <si>
    <t>2025-02-01T11:55:46.572Z</t>
  </si>
  <si>
    <t>Manuel</t>
  </si>
  <si>
    <t>manuelcasasprofesional@gmail.com</t>
  </si>
  <si>
    <t>2025-02-05T14:30:51.769Z</t>
  </si>
  <si>
    <t>Edgar Fernando Munguía Miranda</t>
  </si>
  <si>
    <t>15ees0836y@dgeb.gob.mx</t>
  </si>
  <si>
    <t>2025-02-06T13:44:42.896Z</t>
  </si>
  <si>
    <t>Gabriel Peugnet Núñez</t>
  </si>
  <si>
    <t>gabriel.peugnet@gmail.com</t>
  </si>
  <si>
    <t>2025-02-08T19:59:48.557Z</t>
  </si>
  <si>
    <t>2025-02-08T20:01:00.305Z</t>
  </si>
  <si>
    <t>Jorgelina Zabala</t>
  </si>
  <si>
    <t>jor.zabala@gmail.com</t>
  </si>
  <si>
    <t>2025-02-10T09:03:28.699Z</t>
  </si>
  <si>
    <t>Priscila Perez</t>
  </si>
  <si>
    <t>2025-02-11T14:19:24.852Z</t>
  </si>
  <si>
    <t>Jhoncarlo Peñaloza Mamani</t>
  </si>
  <si>
    <t>jhoncarlo.penaloza@gmail.com</t>
  </si>
  <si>
    <t>2025-02-11T21:19:06.750Z</t>
  </si>
  <si>
    <t>Evelin Villazon</t>
  </si>
  <si>
    <t>evelinvillazonc@gmail.com</t>
  </si>
  <si>
    <t>2025-02-12T15:31:21.358Z</t>
  </si>
  <si>
    <t>Marisol Gonzalez</t>
  </si>
  <si>
    <t>lic.marisol.gonzalez@outlook.com</t>
  </si>
  <si>
    <t>2025-02-16T21:29:43.525Z</t>
  </si>
  <si>
    <t>Tatiana Badanta</t>
  </si>
  <si>
    <t>tati.basantam@gmail.com</t>
  </si>
  <si>
    <t>2025-02-27T15:44:19.577Z</t>
  </si>
  <si>
    <t>Marta Esperanza Campos García</t>
  </si>
  <si>
    <t>martacampgar@gmail.com</t>
  </si>
  <si>
    <t>2025-03-03T08:57:23.759Z</t>
  </si>
  <si>
    <t>Málaga</t>
  </si>
  <si>
    <t>Carla Nieto</t>
  </si>
  <si>
    <t>Carla.n.m.2006@gmail.com</t>
  </si>
  <si>
    <t>2025-03-03T15:10:00.974Z</t>
  </si>
  <si>
    <t>Jessica Hinestroza Rojas</t>
  </si>
  <si>
    <t>jessicahinestrozarojas7@gmail.com</t>
  </si>
  <si>
    <t>Curso sobre el tratamiento de la autoestima</t>
  </si>
  <si>
    <t>2025-03-04T15:49:36.313Z</t>
  </si>
  <si>
    <t>Myriam Garcia-Angulo</t>
  </si>
  <si>
    <t>myrigarciaanguloh@gmail.com</t>
  </si>
  <si>
    <t>2025-03-07T12:20:27.079Z</t>
  </si>
  <si>
    <t>Cruz Alejandra Bonilla Garcia</t>
  </si>
  <si>
    <t>boga0304@gmail.com</t>
  </si>
  <si>
    <t>2025-03-08T16:44:27.829Z</t>
  </si>
  <si>
    <t>Diana Guerrero</t>
  </si>
  <si>
    <t>diannguer31@gmail.com</t>
  </si>
  <si>
    <t>Curso de Psicofarmacología</t>
  </si>
  <si>
    <t>DANIELA ZORILA</t>
  </si>
  <si>
    <t>zorilad@yahoo.com</t>
  </si>
  <si>
    <t>Marta Monsergas</t>
  </si>
  <si>
    <t>martamonsezdrive@gmail.com</t>
  </si>
  <si>
    <t>Oihane</t>
  </si>
  <si>
    <t>oihanecolo@gmail.com</t>
  </si>
  <si>
    <t>Francisca Matamala</t>
  </si>
  <si>
    <t>francisca.matamalac@gmail.com</t>
  </si>
  <si>
    <t>Gurnada Antonia Cortes Hinestroza</t>
  </si>
  <si>
    <t>antoniacortez@hotmail.com</t>
  </si>
  <si>
    <t>Curso sobre el acoso escolar o Bullying</t>
  </si>
  <si>
    <t>Carlos</t>
  </si>
  <si>
    <t>Andrea Rincón</t>
  </si>
  <si>
    <t>erandrea101@gmail.com</t>
  </si>
  <si>
    <t>Elena</t>
  </si>
  <si>
    <t>ealegre@cop.es</t>
  </si>
  <si>
    <t>carlos</t>
  </si>
  <si>
    <t>2025-03-20T09:32:05.954Z</t>
  </si>
  <si>
    <t>Serrano Sofía</t>
  </si>
  <si>
    <t>ssofiserrano@gmail.com</t>
  </si>
  <si>
    <t>Mariela Edith Bazan</t>
  </si>
  <si>
    <t>marielabazan83@gmail.com</t>
  </si>
  <si>
    <t>Nicole Chavez</t>
  </si>
  <si>
    <t>nachavezr@gmail.com</t>
  </si>
  <si>
    <t>Adriana Morales Mateo</t>
  </si>
  <si>
    <t>adriana.morales@cruzroja.es</t>
  </si>
  <si>
    <t>Amaia Rodríguez Fernández</t>
  </si>
  <si>
    <t>bilbao_21@hotmail.com</t>
  </si>
  <si>
    <t>OLGA PALLEJÀ</t>
  </si>
  <si>
    <t>o.palleja@fhd9barris.com</t>
  </si>
  <si>
    <t>Barcelona</t>
  </si>
  <si>
    <t>José Manuel</t>
  </si>
  <si>
    <t>jmrodriguezgil73@gmail.com</t>
  </si>
  <si>
    <t>Granada</t>
  </si>
  <si>
    <t>Rosa Iglesias Rosique</t>
  </si>
  <si>
    <t>r.iglesias.r@gmail.com</t>
  </si>
  <si>
    <t>Madrid</t>
  </si>
  <si>
    <t>Helen Herrera</t>
  </si>
  <si>
    <t>helenhh273@gmail.com</t>
  </si>
  <si>
    <t>(No hace 2ºpago: material oculto para la alumna)</t>
  </si>
  <si>
    <t>yileny cruz</t>
  </si>
  <si>
    <t>ti-fany09@hotmail.com</t>
  </si>
  <si>
    <t>Curso de especialista en Trastorno del Espectro Autista TEA</t>
  </si>
  <si>
    <t>Laura Jimenez</t>
  </si>
  <si>
    <t>lauujimenezruiz@gmail.com</t>
  </si>
  <si>
    <t>Córdoba</t>
  </si>
  <si>
    <t>María Gema Martínez</t>
  </si>
  <si>
    <t>gema.martineznavarro@gmail.com</t>
  </si>
  <si>
    <t>Ochoa Maria Ivonne</t>
  </si>
  <si>
    <t>ivonne.5.14@hotmail.com</t>
  </si>
  <si>
    <t>Curso de Coaching Vocacional y Desarrollo Profesional</t>
  </si>
  <si>
    <t>Patricia Jaquez</t>
  </si>
  <si>
    <t>patricia.jaquez@hotmail.com</t>
  </si>
  <si>
    <t>Carolina Ferrera Gutiérrez</t>
  </si>
  <si>
    <t>cafegu04@gmail.com</t>
  </si>
  <si>
    <t>Curso sobre el Trastorno de Déficit de Atención e Hiperactividad (TDAH)</t>
  </si>
  <si>
    <t>Madrid, Getafe</t>
  </si>
  <si>
    <t>Vanessa Céspedes</t>
  </si>
  <si>
    <t>vancess@yahoo.com</t>
  </si>
  <si>
    <t>Curso mi Primera Consulta Psicológica</t>
  </si>
  <si>
    <t>Elena López</t>
  </si>
  <si>
    <t>elenalopezbaena@hotmail.com</t>
  </si>
  <si>
    <t>Estefanía M.</t>
  </si>
  <si>
    <t>stefaniacardona448@gmail.com</t>
  </si>
  <si>
    <t>Jenny</t>
  </si>
  <si>
    <t>jennyfer0693@gmail.com</t>
  </si>
  <si>
    <t>Curso Trastorno Obsesivo Compulsivo</t>
  </si>
  <si>
    <t>Lleida</t>
  </si>
  <si>
    <t>Melina Peleriti</t>
  </si>
  <si>
    <t>naty_m_p@hotmail.com</t>
  </si>
  <si>
    <t>Lydia Alfonsín García</t>
  </si>
  <si>
    <t>lydialfgarci@gmail.com</t>
  </si>
  <si>
    <t>Curso sobre la mediación en los conflictos con los adolescentes</t>
  </si>
  <si>
    <t>Carlota Llinares</t>
  </si>
  <si>
    <t>carlotaxwp92@gmail.com</t>
  </si>
  <si>
    <t>Sol Enrich</t>
  </si>
  <si>
    <t>solenrich@gmail.com</t>
  </si>
  <si>
    <t>Curso de Intervención en la Dislexia</t>
  </si>
  <si>
    <t>Javier Wildemar Diaz Villalobos Lechugas 4</t>
  </si>
  <si>
    <t>diazvillalobos123@gmail.com</t>
  </si>
  <si>
    <t>Sofia Morán Porras</t>
  </si>
  <si>
    <t>sofiamoranporras@gmail.com</t>
  </si>
  <si>
    <t>soraya orellana</t>
  </si>
  <si>
    <t>psicologa.sorayaorellana@gmail.com</t>
  </si>
  <si>
    <t>Andrea Garcés</t>
  </si>
  <si>
    <t>afgarces25@gmail.com</t>
  </si>
  <si>
    <t>Joana Garcia</t>
  </si>
  <si>
    <t>joanagarcia480@gmail.com</t>
  </si>
  <si>
    <t>Curso de Tratamiento para Dejar de Fumar</t>
  </si>
  <si>
    <t>Segundo Guerrero</t>
  </si>
  <si>
    <t>segundoguerrero09@yahoo.com</t>
  </si>
  <si>
    <t>Rodrigo Zamora Gómez</t>
  </si>
  <si>
    <t>rzg_1981@hotmail.com</t>
  </si>
  <si>
    <t>Curso de Psicología del Testimonio y Credibilidad</t>
  </si>
  <si>
    <t>paula</t>
  </si>
  <si>
    <t>paulamengodbalbas@gmail.com</t>
  </si>
  <si>
    <t>Almudena Santana</t>
  </si>
  <si>
    <t>almudena.santana.2017@gmail.com</t>
  </si>
  <si>
    <t>Curso de Coaching para el Desarrollo del Liderazgo Personal</t>
  </si>
  <si>
    <t>Karla Elizabeth Morales Panes</t>
  </si>
  <si>
    <t>ps.karlamorales.p@gmail.com</t>
  </si>
  <si>
    <t>Ana Ratia</t>
  </si>
  <si>
    <t>anaratia755@hotmail.com</t>
  </si>
  <si>
    <t>Isabel Murillo</t>
  </si>
  <si>
    <t>isablmurillo@hotmail.com</t>
  </si>
  <si>
    <t>Curso de sueño e Insomnio</t>
  </si>
  <si>
    <t>Jacobi Guillermina</t>
  </si>
  <si>
    <t>guillerminajacobi@gmail.com</t>
  </si>
  <si>
    <t>Rafael Dominguez</t>
  </si>
  <si>
    <t>rfammcuatro@hotmail.com</t>
  </si>
  <si>
    <t>Sara Villafáfila</t>
  </si>
  <si>
    <t>saravillafafila@hotmail.com</t>
  </si>
  <si>
    <t>Valladolid</t>
  </si>
  <si>
    <t>Ksenia Kobrzynska</t>
  </si>
  <si>
    <t>kobrzynskaksenia@gmial.com</t>
  </si>
  <si>
    <t>Curso de técnicas de estudio para niños y adolescentes</t>
  </si>
  <si>
    <t>Alberto Lagos</t>
  </si>
  <si>
    <t>a.lagosvillagran91@gmail.com</t>
  </si>
  <si>
    <t>Andrés Lavín</t>
  </si>
  <si>
    <t>andreslavin@live.cl</t>
  </si>
  <si>
    <t>Curso de experto en inteligencia emocional</t>
  </si>
  <si>
    <t>Miguel</t>
  </si>
  <si>
    <t>mglxjmz@gmail.com</t>
  </si>
  <si>
    <t>Curso de Superación de la Postergación y Productividad Personal</t>
  </si>
  <si>
    <t>Rosana Calvo Cruza</t>
  </si>
  <si>
    <t>rcalvocruza@gmail.com</t>
  </si>
  <si>
    <t>Glendys Yuliana Cabarcas Berrio</t>
  </si>
  <si>
    <t>yuliancabarcas20@gmail.com</t>
  </si>
  <si>
    <t>Curso sobre Prevención en la Conducta Suicida</t>
  </si>
  <si>
    <t>María Amanda</t>
  </si>
  <si>
    <t>marsntesdesouza77@gail.com</t>
  </si>
  <si>
    <t>ona varalda</t>
  </si>
  <si>
    <t>ona1404@gmail.com</t>
  </si>
  <si>
    <t>Ana Zelaya</t>
  </si>
  <si>
    <t>torresana2911@gmail.com</t>
  </si>
  <si>
    <t>joaquin humberto cortez huallpa</t>
  </si>
  <si>
    <t>07humberto@gmail.com</t>
  </si>
  <si>
    <t>Irlanda Araguz</t>
  </si>
  <si>
    <t>irlandaaraguz0@gmail.com</t>
  </si>
  <si>
    <t>MARIA AIDA TOVAR</t>
  </si>
  <si>
    <t>ixtabay.tp@gmail.com</t>
  </si>
  <si>
    <t>Elizabeth Oliver Garcia</t>
  </si>
  <si>
    <t>ELIOLI2904@GMAIL.COM</t>
  </si>
  <si>
    <t>karen ceballos</t>
  </si>
  <si>
    <t>ceballoskaren@hotmail.com</t>
  </si>
  <si>
    <t>Curso de Musicoterapia en Salud Mental</t>
  </si>
  <si>
    <t>Ana Ivis Gutierrez Corona</t>
  </si>
  <si>
    <t>anaivis.gutierrezcorona@yahoo.com</t>
  </si>
  <si>
    <t>AURORA DEL CARMEN GUERRA ROJANO</t>
  </si>
  <si>
    <t>auroraguerrarojano@gmail.com</t>
  </si>
  <si>
    <t>Curso de Terapia en Pareja</t>
  </si>
  <si>
    <t>Lourdes Razo Torres</t>
  </si>
  <si>
    <t>maria.lourdes.03.lrt@gmail.com</t>
  </si>
  <si>
    <t>Jose Martinez Sanchez</t>
  </si>
  <si>
    <t>investigacap@gmail.com</t>
  </si>
  <si>
    <t>Sofía Marimar Hernandez Galvez</t>
  </si>
  <si>
    <t>sofimm12@gmail.com</t>
  </si>
  <si>
    <t>Jean</t>
  </si>
  <si>
    <t>jeanpierrevarg@gmail.com</t>
  </si>
  <si>
    <t>Melissa Arias Sibaja</t>
  </si>
  <si>
    <t>melissarias92@gmail.com</t>
  </si>
  <si>
    <t>Beatrice Pia Saraceni</t>
  </si>
  <si>
    <t>bea.lele@libero.it</t>
  </si>
  <si>
    <t>Montse Coronado</t>
  </si>
  <si>
    <t>adlibitums@hotmail.com</t>
  </si>
  <si>
    <t>Beatriz Palmés Martín</t>
  </si>
  <si>
    <t>info@beatrizpalmes.com</t>
  </si>
  <si>
    <t>Luis Analuisa</t>
  </si>
  <si>
    <t>luisanaluisa870@gmail.com</t>
  </si>
  <si>
    <t>Mara Roccheri</t>
  </si>
  <si>
    <t>mara.psico.consultorio@gmail.com</t>
  </si>
  <si>
    <t>Jesus Demetrio Reyes Monsvais</t>
  </si>
  <si>
    <t>demetrio.reyesmonsivais@gmail.com</t>
  </si>
  <si>
    <t>Juan Hofschulte</t>
  </si>
  <si>
    <t>juansu100@gmail.com</t>
  </si>
  <si>
    <t>Curso superar la timidez</t>
  </si>
  <si>
    <t>Paula Arana</t>
  </si>
  <si>
    <r>
      <rPr>
        <b/>
        <sz val="10"/>
        <color rgb="FF000000"/>
        <rFont val="Arial"/>
      </rPr>
      <t>arana.paula@sysmex.</t>
    </r>
    <r>
      <rPr>
        <b/>
        <sz val="10"/>
        <color theme="1"/>
        <rFont val="Arial"/>
      </rPr>
      <t>es</t>
    </r>
  </si>
  <si>
    <t>Curso comunicación asertiva en el trabajo</t>
  </si>
  <si>
    <t xml:space="preserve">Jessica </t>
  </si>
  <si>
    <r>
      <rPr>
        <u/>
        <sz val="10"/>
        <color rgb="FF1155CC"/>
        <rFont val="Arial"/>
      </rPr>
      <t>jessipf20@gmail.com</t>
    </r>
  </si>
  <si>
    <t>34 647 22 09 41</t>
  </si>
  <si>
    <t>Coaching con propósito</t>
  </si>
  <si>
    <t>Paula Montesinos</t>
  </si>
  <si>
    <t>paulamsayas@gmail.com</t>
  </si>
  <si>
    <t>camila agostina</t>
  </si>
  <si>
    <t>mgutierrezdomingo@gmail.com</t>
  </si>
  <si>
    <t>enid quiles</t>
  </si>
  <si>
    <t>ez.quilesdiaz@gmail.com</t>
  </si>
  <si>
    <t>Curso de Desarrollo y Evaluación de Programas Comunitarios</t>
  </si>
  <si>
    <t>Paola Cortés</t>
  </si>
  <si>
    <t>paobacr@gmail.com</t>
  </si>
  <si>
    <t>Meritxell Del Mastro Ochoa</t>
  </si>
  <si>
    <t>merimastro@gmail.com</t>
  </si>
  <si>
    <t>Vanesa Monje</t>
  </si>
  <si>
    <t>vanesa.monje@gmail.com</t>
  </si>
  <si>
    <t>Celina Quevedo</t>
  </si>
  <si>
    <t>celi-quevedo@hotmail.com</t>
  </si>
  <si>
    <t>Curso de Gestión de Rabietas y Límites Saludables</t>
  </si>
  <si>
    <t>MARIA CRISTINA TRELLES SALVADOR</t>
  </si>
  <si>
    <t>tymc1403@hotmail.com</t>
  </si>
  <si>
    <t>Franklin Sanchez</t>
  </si>
  <si>
    <t>administracion@domisalud.cl</t>
  </si>
  <si>
    <t>Carolina</t>
  </si>
  <si>
    <t>carolinacipriano59@gmail.com</t>
  </si>
  <si>
    <t>Romina Stella</t>
  </si>
  <si>
    <t>rominastella@hotmail.com</t>
  </si>
  <si>
    <t>Rocío Olmos Villaseñor</t>
  </si>
  <si>
    <t>rolmosvillasenor@gmail.com</t>
  </si>
  <si>
    <t>Web</t>
  </si>
  <si>
    <t>Sabrina Farías</t>
  </si>
  <si>
    <t>lic.sabrinafarias@gmail.com</t>
  </si>
  <si>
    <t>Sofia Calderón Quiterio</t>
  </si>
  <si>
    <t>calderonquiterio1504@gmail.com</t>
  </si>
  <si>
    <t>Tamara Garcia Villena</t>
  </si>
  <si>
    <t>Maciel Baudano</t>
  </si>
  <si>
    <t>macielbaudanoo@gmail.com</t>
  </si>
  <si>
    <t>Curso de Inteligencia Emocional e Iniciación al Coaching</t>
  </si>
  <si>
    <t>Oihane Olabarrieta</t>
  </si>
  <si>
    <t>Sandra Sandbichler</t>
  </si>
  <si>
    <t>lluna.lluna14@gmai.com</t>
  </si>
  <si>
    <t>Susan Cornejo</t>
  </si>
  <si>
    <t>sulucor47@gmail.com</t>
  </si>
  <si>
    <t>Jose Luis Ytriago</t>
  </si>
  <si>
    <t>jlytriago1@hotmail.com</t>
  </si>
  <si>
    <t>Nerea Martín</t>
  </si>
  <si>
    <t>nmartinclos@gmail.com</t>
  </si>
  <si>
    <t>Kenia Chávez</t>
  </si>
  <si>
    <t>kenia.90chavez@gmail.com</t>
  </si>
  <si>
    <t>melanie garriga holm</t>
  </si>
  <si>
    <t>melaniegarrigaholm@gmail.com</t>
  </si>
  <si>
    <t>Patricia Solorzano Telechea</t>
  </si>
  <si>
    <t>patrisolorzano@hotmail.com</t>
  </si>
  <si>
    <t>Emma Prades Morera</t>
  </si>
  <si>
    <t>emmaprades1976@gmail.com</t>
  </si>
  <si>
    <t>Polet Colin</t>
  </si>
  <si>
    <t>polet.colin@gmail.com</t>
  </si>
  <si>
    <t>Andrea Jiménez</t>
  </si>
  <si>
    <t>av.jimenezgu@unisanitas.edu.co</t>
  </si>
  <si>
    <t>No interesado</t>
  </si>
  <si>
    <t>Patricia Alcaide</t>
  </si>
  <si>
    <t>patry1985@gmail.com</t>
  </si>
  <si>
    <t>Mabel Laguna</t>
  </si>
  <si>
    <t>lagunamabel@gmail.com</t>
  </si>
  <si>
    <t>Mauricio de castro</t>
  </si>
  <si>
    <t>mauricio_de_castro@hotmail.com</t>
  </si>
  <si>
    <t>Emanuela Spadaro</t>
  </si>
  <si>
    <t>esbcnfco@gmail.com</t>
  </si>
  <si>
    <t>SOFIA BIANCHINI</t>
  </si>
  <si>
    <t>sofiiibianchini@gmail.com</t>
  </si>
  <si>
    <t>Pryscilla Gianina Ugás Wisnar</t>
  </si>
  <si>
    <t>pryscilla0394@gmail.com</t>
  </si>
  <si>
    <t>Ramon carlos sanchit</t>
  </si>
  <si>
    <t>marianos@12gmail.com</t>
  </si>
  <si>
    <t>yudy</t>
  </si>
  <si>
    <t>Curso para el bajo deseo sexual</t>
  </si>
  <si>
    <t>isabel maria chueco ruiz</t>
  </si>
  <si>
    <t>isabelch@copc.cat</t>
  </si>
  <si>
    <t>CLAUDIA RIVAS</t>
  </si>
  <si>
    <t>claudiarivasreyes6@gmail.com</t>
  </si>
  <si>
    <t>Vanessa Cordero Duque</t>
  </si>
  <si>
    <t>vanesina_1@hotmail.com</t>
  </si>
  <si>
    <t>Priscilla Herrera Brito</t>
  </si>
  <si>
    <t>herrerabritopri@gmail.com</t>
  </si>
  <si>
    <t>Mireia Jareño</t>
  </si>
  <si>
    <t>carlosmireia54@gmail.com</t>
  </si>
  <si>
    <t>Marco Chavez</t>
  </si>
  <si>
    <t>marco.chavez@cugdl.udg.mx</t>
  </si>
  <si>
    <t>Curso sobre la Personalidad Antisocial</t>
  </si>
  <si>
    <t>Pedro González Baeza</t>
  </si>
  <si>
    <t>pedrogonzalezbaeza@hotmail.com</t>
  </si>
  <si>
    <t>Jefferson William Cauja Astudillo</t>
  </si>
  <si>
    <t>caujajefferson@gmail.com</t>
  </si>
  <si>
    <t>Vania Ramirez Hernandez</t>
  </si>
  <si>
    <t>vania191095@hotmail.com</t>
  </si>
  <si>
    <t>AINOA ARRIZABALAGA SALVO</t>
  </si>
  <si>
    <t>as.ainoa@hotmail.com</t>
  </si>
  <si>
    <t>Blanca Rojas</t>
  </si>
  <si>
    <t>blanca.e.rojas.sanchez@gmail.com</t>
  </si>
  <si>
    <t>SONIA ENRIQUEZ GUZMAN</t>
  </si>
  <si>
    <t>senguzipler@gmail.com</t>
  </si>
  <si>
    <t>Diplomado en Intervención Psicológica en Depresión y Riesgo Suicida</t>
  </si>
  <si>
    <t>leticia campuzano garcia</t>
  </si>
  <si>
    <t>campuempresa87@gmail.com</t>
  </si>
  <si>
    <t xml:space="preserve">Laura Garcia </t>
  </si>
  <si>
    <t>Carmen Fernández Pastor</t>
  </si>
  <si>
    <t>carmenfp.fernandez8@gmail.com</t>
  </si>
  <si>
    <t xml:space="preserve">Lucia Acuña </t>
  </si>
  <si>
    <t>lucjajanice@gmail.com</t>
  </si>
  <si>
    <t>María Masana</t>
  </si>
  <si>
    <t>mmasanad@gmail.com</t>
  </si>
  <si>
    <t>Curso de Desarrollo de la Marca Personal en Psicología</t>
  </si>
  <si>
    <t>Cristobal Aguilar avila</t>
  </si>
  <si>
    <t>aguilarcristobal546@gmail.com</t>
  </si>
  <si>
    <t>Prospecto</t>
  </si>
  <si>
    <t>Marta Lloris</t>
  </si>
  <si>
    <t>martagarcialloris@gmail.com</t>
  </si>
  <si>
    <t>Curso de Diversidad Generacional</t>
  </si>
  <si>
    <t xml:space="preserve">María </t>
  </si>
  <si>
    <t>Cristina Catalá</t>
  </si>
  <si>
    <t>crisscatala@gmail.com</t>
  </si>
  <si>
    <t xml:space="preserve">Lina Castro </t>
  </si>
  <si>
    <t>Luly Lozano</t>
  </si>
  <si>
    <t>lulylozanog@yahoo.com.mx</t>
  </si>
  <si>
    <t>Davinia Rodríguez</t>
  </si>
  <si>
    <t>centroclinicodiverso@gmail.com</t>
  </si>
  <si>
    <t>sally caruso</t>
  </si>
  <si>
    <t>sallyeugenia@gmail.com</t>
  </si>
  <si>
    <t xml:space="preserve">Patricia </t>
  </si>
  <si>
    <t>Whatsapp</t>
  </si>
  <si>
    <t>GEORGINA NAVAS CALVI</t>
  </si>
  <si>
    <t>georginc12@gmail.com</t>
  </si>
  <si>
    <t>Angel Hernandez</t>
  </si>
  <si>
    <t>htm2015htm@gmail.com</t>
  </si>
  <si>
    <t>María Carolina Vivanco Bórquez</t>
  </si>
  <si>
    <t>mcvivancob@gmail.com</t>
  </si>
  <si>
    <t>María Hurtado</t>
  </si>
  <si>
    <t>hurtadocortesmaria0@gmail.com</t>
  </si>
  <si>
    <t xml:space="preserve">Lorena </t>
  </si>
  <si>
    <t>Rosario</t>
  </si>
  <si>
    <t>charovpsicologa@gmail.com</t>
  </si>
  <si>
    <t>Noelia González</t>
  </si>
  <si>
    <t>noeliagperezz@gmail.com</t>
  </si>
  <si>
    <t>Máster en Intervención Logopédica en la Deglución</t>
  </si>
  <si>
    <t>Paula Díaz</t>
  </si>
  <si>
    <t>paula1995saucedo@hotmail.com</t>
  </si>
  <si>
    <t>Máster de trastornos de la comunicación y neuroeducacion de la Audición y Lenguaje</t>
  </si>
  <si>
    <t>Necesita homologar</t>
  </si>
  <si>
    <t>Maria José Arteaga</t>
  </si>
  <si>
    <t>majoarteaga02@gmail.com</t>
  </si>
  <si>
    <t xml:space="preserve">(Por definir ) Máster en Patología de la Voz y Voz Profesional o Máster en Voz Profesional y Foniatría </t>
  </si>
  <si>
    <t xml:space="preserve">Jorge </t>
  </si>
  <si>
    <t>Instagram</t>
  </si>
  <si>
    <t>Busca una carrera universitaria</t>
  </si>
  <si>
    <r>
      <rPr>
        <b/>
        <sz val="10"/>
        <color theme="1"/>
        <rFont val="Arial"/>
      </rPr>
      <t>Kari</t>
    </r>
    <r>
      <rPr>
        <sz val="10"/>
        <color theme="1"/>
        <rFont val="Arial"/>
      </rPr>
      <t xml:space="preserve"> </t>
    </r>
  </si>
  <si>
    <t>Guadalupe Trocello</t>
  </si>
  <si>
    <t>guadytrocello@gmail.com</t>
  </si>
  <si>
    <t>Diplomado en Neurociencia Clínica</t>
  </si>
  <si>
    <t>Guillermo Jiménez</t>
  </si>
  <si>
    <t xml:space="preserve">Angelica Medina </t>
  </si>
  <si>
    <r>
      <rPr>
        <b/>
        <sz val="10"/>
        <color theme="1"/>
        <rFont val="Arial"/>
      </rPr>
      <t xml:space="preserve">Paula </t>
    </r>
    <r>
      <rPr>
        <b/>
        <sz val="11"/>
        <color theme="1"/>
        <rFont val="Arial"/>
      </rPr>
      <t>Elorz</t>
    </r>
  </si>
  <si>
    <t xml:space="preserve">Por definir </t>
  </si>
  <si>
    <t>Maria Jesús Manchón</t>
  </si>
  <si>
    <t>psiquiatrapalencia@gmail.com</t>
  </si>
  <si>
    <t xml:space="preserve">Fabian </t>
  </si>
  <si>
    <t xml:space="preserve">Lili </t>
  </si>
  <si>
    <t>Nidi Plazas</t>
  </si>
  <si>
    <t>jaimarm17@yahoo.es</t>
  </si>
  <si>
    <t>Blanca Gimenez</t>
  </si>
  <si>
    <t>Rut Ocon</t>
  </si>
  <si>
    <t>ruthsinhache88@gmail.com</t>
  </si>
  <si>
    <t>LAURA</t>
  </si>
  <si>
    <t>lauberen@gmail.com</t>
  </si>
  <si>
    <t>Curso sobre la Depresión</t>
  </si>
  <si>
    <t>AGLAE LOPEZ</t>
  </si>
  <si>
    <t>aglae.lopezmonroy@hanes.com</t>
  </si>
  <si>
    <t>Irene</t>
  </si>
  <si>
    <t>IDOIA IZAGUIRRE</t>
  </si>
  <si>
    <t>idizagi@gmail.com</t>
  </si>
  <si>
    <t>Hilda Villarroel</t>
  </si>
  <si>
    <t>hilda.villarroel.rojas@gmail.com</t>
  </si>
  <si>
    <t>Curso de Gestión del Cambio y Adaptación</t>
  </si>
  <si>
    <t>Cynthia Lopez</t>
  </si>
  <si>
    <t>Marta Ramos Gómez</t>
  </si>
  <si>
    <t>marta.ramos.sep01@gmail.com</t>
  </si>
  <si>
    <t>MARIBEL TORCATT</t>
  </si>
  <si>
    <t>torcat.maribel@gmail.com</t>
  </si>
  <si>
    <t>Diplomado en Fundamentos de Psicología y Abordaje Clínico del Sueño</t>
  </si>
  <si>
    <t>Pendiente por pago</t>
  </si>
  <si>
    <t>Marcial Navarro</t>
  </si>
  <si>
    <t>marcialmaciel@hotmail.com</t>
  </si>
  <si>
    <t>Carlota Linares</t>
  </si>
  <si>
    <t>Carolina Burgos</t>
  </si>
  <si>
    <t xml:space="preserve">Cami Zeballos </t>
  </si>
  <si>
    <t xml:space="preserve">Mayo </t>
  </si>
  <si>
    <t>Mariela Borean</t>
  </si>
  <si>
    <t>marielaborean2232@gmail.com</t>
  </si>
  <si>
    <t>Rocío Moriel</t>
  </si>
  <si>
    <t>Curso de Realidad Virtual en Psicoterapia</t>
  </si>
  <si>
    <t>Su</t>
  </si>
  <si>
    <t>elcojinderayas@hotmail.com</t>
  </si>
  <si>
    <t>Miryam Carretero</t>
  </si>
  <si>
    <t>mirindola2002@yahoo.es</t>
  </si>
  <si>
    <t>Izaskun Redondo Quincoces</t>
  </si>
  <si>
    <t>kakunrq@gmail.com</t>
  </si>
  <si>
    <t>Belen company</t>
  </si>
  <si>
    <t>psicologiabelencompany@gmail.com</t>
  </si>
  <si>
    <t xml:space="preserve">Raquel </t>
  </si>
  <si>
    <t>Maida Martín</t>
  </si>
  <si>
    <t>maidaneurofeedback@gmail.com</t>
  </si>
  <si>
    <t xml:space="preserve">Mary </t>
  </si>
  <si>
    <t>Diplomado en Psicopatología Infantil: Enfoques Clínicos para el TEA, la Ansiedad y la Depresión</t>
  </si>
  <si>
    <t xml:space="preserve">David </t>
  </si>
  <si>
    <t>Mayra ruiz</t>
  </si>
  <si>
    <t>stancovichmayra@gmail.com</t>
  </si>
  <si>
    <t xml:space="preserve">Natalia </t>
  </si>
  <si>
    <t>Máster en Comunicación Aumentativa y Alternativa</t>
  </si>
  <si>
    <t>PSIKO APRENDE-ARGENTINA</t>
  </si>
  <si>
    <t>Curso de Introducción a la Psicología</t>
  </si>
  <si>
    <t>Diego</t>
  </si>
  <si>
    <t xml:space="preserve">Ingrid </t>
  </si>
  <si>
    <t>Maria del Mar Alexander</t>
  </si>
  <si>
    <t>maraidelmaralexander@gmail.com</t>
  </si>
  <si>
    <t xml:space="preserve">Tomas </t>
  </si>
  <si>
    <t>Marga arevalo</t>
  </si>
  <si>
    <t>marevalo@magalie121.com</t>
  </si>
  <si>
    <t>Karla Scippa</t>
  </si>
  <si>
    <t>mindbrain.ks@gmail.com</t>
  </si>
  <si>
    <t>Diplomado en Psicología Hospitalaria y Oncológica: Acompañamiento Profesional y Humano</t>
  </si>
  <si>
    <t>Camila Pallalez Mendez</t>
  </si>
  <si>
    <t>ps.camilapallalez@gmail.com</t>
  </si>
  <si>
    <t>Cecilia García Robles</t>
  </si>
  <si>
    <t>Ceciliagarcia41@hotmail.com</t>
  </si>
  <si>
    <t>Andrea Zambrano Calzado</t>
  </si>
  <si>
    <t>andrea.zambrano81@gmail.com</t>
  </si>
  <si>
    <t>Gabriela</t>
  </si>
  <si>
    <t>Daniela Zamudio</t>
  </si>
  <si>
    <t>psicdanielazmyc@live.com.mx</t>
  </si>
  <si>
    <t>Víctoria lopez</t>
  </si>
  <si>
    <t>vlopez@enplluralpsicologia.com</t>
  </si>
  <si>
    <t>Vlopez@enpluralpsicologia.com</t>
  </si>
  <si>
    <t>Diplomado en Estrés Postraumático y Violencia de Género: Evaluación, Diagnóstico e Intervención</t>
  </si>
  <si>
    <t>MARIANA PEREZA TORO</t>
  </si>
  <si>
    <t>marianatoro3217@gmail.com</t>
  </si>
  <si>
    <t>Curso Psicología en el Deporte</t>
  </si>
  <si>
    <t>Marisol Ibarra</t>
  </si>
  <si>
    <t>marisol.17.ibarra@gmail.com</t>
  </si>
  <si>
    <t>Emma De La Guardia</t>
  </si>
  <si>
    <t>emma.delaguardia@gmail.com</t>
  </si>
  <si>
    <t>Zandra Daza</t>
  </si>
  <si>
    <t>zandra.dazar@gmail.com</t>
  </si>
  <si>
    <t>Paula Espinosa</t>
  </si>
  <si>
    <t>paulaempatika@gmail.com</t>
  </si>
  <si>
    <t>Carolina Pereira</t>
  </si>
  <si>
    <t>pereiracaroliaf@gmail.com</t>
  </si>
  <si>
    <t>kidda lucas</t>
  </si>
  <si>
    <t>kiddalucas@gmail.com</t>
  </si>
  <si>
    <t>Alicia Carmona Martínez</t>
  </si>
  <si>
    <t>aliciacarmona@asociacionsanjose.org</t>
  </si>
  <si>
    <t>Nancy Sámano</t>
  </si>
  <si>
    <t>nsamano@iteso.mx</t>
  </si>
  <si>
    <t>Diplomado en Inclusión Social y Comprensión de la Neurodiversidad</t>
  </si>
  <si>
    <t xml:space="preserve">Jorge Ramis </t>
  </si>
  <si>
    <t xml:space="preserve">Greta </t>
  </si>
  <si>
    <t>Curso para Superar la Timidez y la Ansiedad Social</t>
  </si>
  <si>
    <t xml:space="preserve">Alexander </t>
  </si>
  <si>
    <t>Curso sobre el tratamiento de la ludopatía</t>
  </si>
  <si>
    <t xml:space="preserve">Correo </t>
  </si>
  <si>
    <t>Curso sobre el Trastorno de Déficit de Atención e Hiperactividad (TDAH)</t>
  </si>
  <si>
    <t xml:space="preserve">Patricia Gomez </t>
  </si>
  <si>
    <t xml:space="preserve">Busca presencial </t>
  </si>
  <si>
    <t>nikanesito@gmail.com</t>
  </si>
  <si>
    <t xml:space="preserve">Juan </t>
  </si>
  <si>
    <t>JuanJoseluengosegura@outlook.es</t>
  </si>
  <si>
    <t>Curso de Intervención Psicosocial en Grupos Vulnerables</t>
  </si>
  <si>
    <t>Lucía TABOAS</t>
  </si>
  <si>
    <t>lutaboas@hotmail.con</t>
  </si>
  <si>
    <t>maría elena garcía dascalu</t>
  </si>
  <si>
    <t>garciadascalume@gmail.com</t>
  </si>
  <si>
    <t>mariana vila</t>
  </si>
  <si>
    <t>licmarianavila@gmail.com</t>
  </si>
  <si>
    <t>Marina Díaz Marín</t>
  </si>
  <si>
    <t>marinadiazm97@gmail.com</t>
  </si>
  <si>
    <t>suyca@yahoo.es</t>
  </si>
  <si>
    <t>Cris</t>
  </si>
  <si>
    <t>Curso de Especialista en Psicología Positiva</t>
  </si>
  <si>
    <t>Idhareli</t>
  </si>
  <si>
    <t>idhmar2020@gmail.com</t>
  </si>
  <si>
    <t>Monica roblesgil</t>
  </si>
  <si>
    <t>morolas11@gmail.com</t>
  </si>
  <si>
    <t>Maria EVA CURONE</t>
  </si>
  <si>
    <t>creaccionyoga@gmail.com</t>
  </si>
  <si>
    <t>Diplomado en Coaching de Propósito y Transformación Personal</t>
  </si>
  <si>
    <t>XAVI MARTI</t>
  </si>
  <si>
    <t>centreneurosuma@gmail.com</t>
  </si>
  <si>
    <t>María Del Pilar Soto Fernández</t>
  </si>
  <si>
    <t>mpsotfer@gmail.com</t>
  </si>
  <si>
    <t>Curso de Prevención e Intervención en Problemas Psicosociales</t>
  </si>
  <si>
    <t>eliana romina gatica</t>
  </si>
  <si>
    <t>gaticae129@gmail.com</t>
  </si>
  <si>
    <t>Ruben mas garcia</t>
  </si>
  <si>
    <t>rubenmasgarcia@gmail.com</t>
  </si>
  <si>
    <t>Maria del Carmen Martinez</t>
  </si>
  <si>
    <t>mar.mar.cortazar@gmail.com</t>
  </si>
  <si>
    <t>Olga Alonso Guío</t>
  </si>
  <si>
    <t>Ivet Figueras</t>
  </si>
  <si>
    <t>ivet.figueras@gmail.com</t>
  </si>
  <si>
    <t>Curso de Psicología Oncológica</t>
  </si>
  <si>
    <t>Samantha Alvarez de Toledo</t>
  </si>
  <si>
    <t>salvarezdetoledo@gmail.com</t>
  </si>
  <si>
    <t>odhra quintero</t>
  </si>
  <si>
    <t>omaquintero@yahoo.com</t>
  </si>
  <si>
    <t>Master en Trastornos de la Voz del Lenguaje y de la Comunicación</t>
  </si>
  <si>
    <t xml:space="preserve">PSIKO APRENDE-CHILE </t>
  </si>
  <si>
    <t xml:space="preserve">Kari </t>
  </si>
  <si>
    <t>test</t>
  </si>
  <si>
    <t>edurne catalina carrazco fuentes</t>
  </si>
  <si>
    <t>edurne_kta@hotmail.com</t>
  </si>
  <si>
    <t>Raul Enrique navarro huerta</t>
  </si>
  <si>
    <t>rnavhta@gmail.com</t>
  </si>
  <si>
    <t>Curso de Autenticidad y Desarrollo de la Identidad</t>
  </si>
  <si>
    <t>Gabriela Martínez</t>
  </si>
  <si>
    <t>fonogabymartinez@gmail.com</t>
  </si>
  <si>
    <t>Diplomado en Afasias y Trastornos Asociados</t>
  </si>
  <si>
    <t>Yanela</t>
  </si>
  <si>
    <t xml:space="preserve">Curso de Habilidades Sociales </t>
  </si>
  <si>
    <t>Miryam Carretero Trigo</t>
  </si>
  <si>
    <t>contacto@psiquesana.es</t>
  </si>
  <si>
    <t>Maria Medina Rodriguez</t>
  </si>
  <si>
    <t>mery_mr@hotmail.es</t>
  </si>
  <si>
    <t>Jenifer Bordera</t>
  </si>
  <si>
    <t>jenibor.3@gmail.com</t>
  </si>
  <si>
    <t>Alba</t>
  </si>
  <si>
    <t>alba.s.hostalot@gmail.com</t>
  </si>
  <si>
    <t>Nery</t>
  </si>
  <si>
    <t xml:space="preserve">Sabrina </t>
  </si>
  <si>
    <t>Ana Matías</t>
  </si>
  <si>
    <t>ana.magui.mutilva@gmail.com</t>
  </si>
  <si>
    <t>EVELYN FONSECA</t>
  </si>
  <si>
    <t>evelyn2192@gmail.com</t>
  </si>
  <si>
    <t>Diplomado en Psicotecnología, Apps e Inteligencia Artificial en Salud Mental</t>
  </si>
  <si>
    <t>Mónica Samperio</t>
  </si>
  <si>
    <t>psic_samperio@hotmail.com</t>
  </si>
  <si>
    <t>Gemma Franch Salvia</t>
  </si>
  <si>
    <t>gfranchsalvia@educaib.eu</t>
  </si>
  <si>
    <t>Master en patologías del lenguaje y el habla</t>
  </si>
  <si>
    <t>Laura gil</t>
  </si>
  <si>
    <t>lauramaria.giro@gmail.com</t>
  </si>
  <si>
    <t>Ana Alvite</t>
  </si>
  <si>
    <t>anaalvitedepablo13@gmail.com</t>
  </si>
  <si>
    <t>Natividad Prados</t>
  </si>
  <si>
    <t>natigema@gmail.com</t>
  </si>
  <si>
    <t>Diplomado en Inteligencia Emocional y Autoestima</t>
  </si>
  <si>
    <t>Mónica López Gil</t>
  </si>
  <si>
    <t>yeafamily7@gmail.com</t>
  </si>
  <si>
    <t>María Aránzazu Duro Vicente</t>
  </si>
  <si>
    <t>aranzazu@durovicente.com</t>
  </si>
  <si>
    <t>Esther Zamora</t>
  </si>
  <si>
    <t>esther.zamgom@gmail.com</t>
  </si>
  <si>
    <t>Roxana Suarez</t>
  </si>
  <si>
    <t>srojasroxana@gmail.com</t>
  </si>
  <si>
    <t>Curso de Comunicación Efectiva con Tus Hijos</t>
  </si>
  <si>
    <t>Curso para Familias Reconstituidas y Nuevos Modelos Familiares</t>
  </si>
  <si>
    <t>ROSARIO RUBIO BLANCA</t>
  </si>
  <si>
    <t>rosariorubio.psicologa@gmail.com</t>
  </si>
  <si>
    <t>Jean-Richard Maingrette</t>
  </si>
  <si>
    <t>jrjino@yahoo.ca</t>
  </si>
  <si>
    <t>Curso de ansiedad y depresión infantil</t>
  </si>
  <si>
    <t xml:space="preserve">Arancha Du Vicente </t>
  </si>
  <si>
    <t>Curso de Fundamentos de Neurociencia para Psicólogos Clínicos</t>
  </si>
  <si>
    <t xml:space="preserve">Nina </t>
  </si>
  <si>
    <t>Javier Suaquita</t>
  </si>
  <si>
    <t>jsuaquita@netvoxperu.com</t>
  </si>
  <si>
    <t>Morgane Raymaekers</t>
  </si>
  <si>
    <t>contact@lesreveilsdemorgane.com</t>
  </si>
  <si>
    <t>eli.sr91@gmail.com</t>
  </si>
  <si>
    <t>Curso de evaluación e intervención en la discalculia</t>
  </si>
  <si>
    <t>Yaiza Monlleó</t>
  </si>
  <si>
    <t>yaizaprova@gmail.com</t>
  </si>
  <si>
    <t>Curso para Tratamiento de Personas Altamente Sensibles</t>
  </si>
  <si>
    <t xml:space="preserve">Kelly </t>
  </si>
  <si>
    <t>Centro de bienestar y prevencion psicologica</t>
  </si>
  <si>
    <t>María B</t>
  </si>
  <si>
    <t>mbertobotella@me.com</t>
  </si>
  <si>
    <t>JOSE ADRIAN MEDRANO LUNA</t>
  </si>
  <si>
    <t>adrian121416@gmail.com</t>
  </si>
  <si>
    <t>Curso de Resolución Positiva de Conflictos</t>
  </si>
  <si>
    <t>María Virginia Vetancourt</t>
  </si>
  <si>
    <t>virginiavetancourt19@gmail.com</t>
  </si>
  <si>
    <t>Lolisa Pedrosa</t>
  </si>
  <si>
    <t>lolisasrpedrosa96@gmail.com</t>
  </si>
  <si>
    <t xml:space="preserve">Carlos </t>
  </si>
  <si>
    <t xml:space="preserve">Marian </t>
  </si>
  <si>
    <t>Curso de Terapia a través del Movimiento y la Danza</t>
  </si>
  <si>
    <t>Olivia Rosa Cabezas Robaina</t>
  </si>
  <si>
    <t>olicabezas@hotmail.com</t>
  </si>
  <si>
    <t xml:space="preserve">Victoria </t>
  </si>
  <si>
    <t>Curso Psicología en el Deporte</t>
  </si>
  <si>
    <t>Nuria Meana</t>
  </si>
  <si>
    <t>meanagonzalez@gmail.com</t>
  </si>
  <si>
    <t>Cintia Alejandra Trolson</t>
  </si>
  <si>
    <t>cltrolson33@gmail.com</t>
  </si>
  <si>
    <t>Raquel Fernandez</t>
  </si>
  <si>
    <t>rakelfdezdevicente@gmail.com</t>
  </si>
  <si>
    <t>Klara de Agirre arregi</t>
  </si>
  <si>
    <t>klararala@gmail.com</t>
  </si>
  <si>
    <t>Diplomado en Terapia con Juego y Expresión Creativa</t>
  </si>
  <si>
    <t xml:space="preserve">Angie </t>
  </si>
  <si>
    <t>Diplomado en psicotraumatologia clínica</t>
  </si>
  <si>
    <t xml:space="preserve">Cristhian Quijano </t>
  </si>
  <si>
    <t>Alicia Jiménez Acosta</t>
  </si>
  <si>
    <t>aliciajimenezacosta@gmail.com</t>
  </si>
  <si>
    <t>florencia eyler</t>
  </si>
  <si>
    <t>florencia.eyler@gmail.com</t>
  </si>
  <si>
    <t>Leticia del Rosario Rodríguez Guevara</t>
  </si>
  <si>
    <t>rletyy2017@gmail.com</t>
  </si>
  <si>
    <t>YURITZY HERNANDEZ</t>
  </si>
  <si>
    <t>yurizapi@gmail.com</t>
  </si>
  <si>
    <t>Curso de Logopedia</t>
  </si>
  <si>
    <t>Alberto</t>
  </si>
  <si>
    <t>Olatz Lizarralde Marin</t>
  </si>
  <si>
    <t>lizarraldemarinolatz@gmail.com</t>
  </si>
  <si>
    <t>Lucrecia</t>
  </si>
  <si>
    <t>lucre100@hotmail.com</t>
  </si>
  <si>
    <t>Mercedes Meneses</t>
  </si>
  <si>
    <t>mercedesmeneses@hotmail.com</t>
  </si>
  <si>
    <t>Mónica Cruzat</t>
  </si>
  <si>
    <t>monicacruzatr@gmail.com</t>
  </si>
  <si>
    <t>Diplomado en Salud Mental y Migración: Perspectivas Psicosociales e Interculturales</t>
  </si>
  <si>
    <t>Santana</t>
  </si>
  <si>
    <t xml:space="preserve">Curso sobre psicología afirmativa LGTBI+ </t>
  </si>
  <si>
    <t>Natalia</t>
  </si>
  <si>
    <t xml:space="preserve">Curso de Telepsicología y Terapia Online </t>
  </si>
  <si>
    <t>Joseline Aguilar</t>
  </si>
  <si>
    <t>joselinemary82@gmail.com</t>
  </si>
  <si>
    <t>SANDRA RODRIGUEZ</t>
  </si>
  <si>
    <t>etimendoza286@gmail.com</t>
  </si>
  <si>
    <t>Stephanie</t>
  </si>
  <si>
    <t>Diplomado en Psicoterapia Infantil y Adolescente</t>
  </si>
  <si>
    <t>Viviana</t>
  </si>
  <si>
    <t>Curso de Tratamiento de Trastornos del Procesamiento Sensorial</t>
  </si>
  <si>
    <t>Paulina Castro Kreps</t>
  </si>
  <si>
    <t>paulinacas@gmail.com</t>
  </si>
  <si>
    <t>Ushiel Novelo Campos</t>
  </si>
  <si>
    <t>ushiel31@gmail.com</t>
  </si>
  <si>
    <t>Raiza</t>
  </si>
  <si>
    <t>Diplomado en Psicología en Enfermedades Crónicas y Adherencia</t>
  </si>
  <si>
    <t>Consultoria Psicologica</t>
  </si>
  <si>
    <t>Ana Lorente Collado</t>
  </si>
  <si>
    <t>anabelenlorentecollado@gmail.com</t>
  </si>
  <si>
    <t>Diplomado en Intervención Clínica de la Autoestima y la Dependencia Emocional</t>
  </si>
  <si>
    <t>Blanca</t>
  </si>
  <si>
    <t xml:space="preserve">Curso de Intervención Psicológica en Enfermedades Crónicas </t>
  </si>
  <si>
    <t>Jennifer Bernal</t>
  </si>
  <si>
    <t>jenniferbd96@gmail.com</t>
  </si>
  <si>
    <t>Diplomado en Psicoterapia del Trauma Complejo: Enfoques Integrativos</t>
  </si>
  <si>
    <t>Curso de Comunicación Efectiva en Relaciones Cercanas</t>
  </si>
  <si>
    <t>Heidy Fiorella Camposano Camposano</t>
  </si>
  <si>
    <t>hcamposanoc@gmail.com</t>
  </si>
  <si>
    <t>Carlota</t>
  </si>
  <si>
    <t>Pilar</t>
  </si>
  <si>
    <t>Natalia MARTINEZ</t>
  </si>
  <si>
    <t>ntapiero31@gmail.com</t>
  </si>
  <si>
    <t>Ruth Noemí Lopez</t>
  </si>
  <si>
    <t>ruthlo142@gmail.com</t>
  </si>
  <si>
    <t>Katherine Sánchez Porras</t>
  </si>
  <si>
    <t>dra.katherinesanchezporras@gmail.com</t>
  </si>
  <si>
    <t>Helena Huertas</t>
  </si>
  <si>
    <t>helena_huertas@yahoo.es</t>
  </si>
  <si>
    <t>Yuri Florez</t>
  </si>
  <si>
    <t>sinfiltroconamor@gmail.com</t>
  </si>
  <si>
    <t>Conce Ramírez</t>
  </si>
  <si>
    <t>crn@idic.edu.mx</t>
  </si>
  <si>
    <t>Lucía Lugo rojas</t>
  </si>
  <si>
    <t>luzi_7@hotmail.com</t>
  </si>
  <si>
    <t>Diplomado en Gestión de Proyectos Sociales para el Desarrollo Comunitario</t>
  </si>
  <si>
    <t>Raquel de Miguel</t>
  </si>
  <si>
    <t>demiguelraquel@yahoo.es</t>
  </si>
  <si>
    <t>FRANCESCA GÓMEZ</t>
  </si>
  <si>
    <t>francesca18reynoso@gmail.com</t>
  </si>
  <si>
    <t>Diplomado en Psicología Afirmativa y Atención a la Diversidad Sexual y de Género</t>
  </si>
  <si>
    <t>Alessandra</t>
  </si>
  <si>
    <t>Valentina Calderón</t>
  </si>
  <si>
    <t>vcalderon@gimnasioelbosque.edu.co</t>
  </si>
  <si>
    <t>Iriana Correa</t>
  </si>
  <si>
    <t>iricorrea86@gmail.com</t>
  </si>
  <si>
    <t>Marta Bautista</t>
  </si>
  <si>
    <t>marta_bautista_lopez@hotmail.com</t>
  </si>
  <si>
    <t>Lorena Díaz</t>
  </si>
  <si>
    <t>lorenabelladiazhernandez@gmail.com</t>
  </si>
  <si>
    <t>María Checa</t>
  </si>
  <si>
    <t>mariachecasi@gmail.com</t>
  </si>
  <si>
    <t>Rebeca Sáez Cubiles</t>
  </si>
  <si>
    <t>saezcubilesrebeca@gmail.com</t>
  </si>
  <si>
    <t>Veronica Fernandez</t>
  </si>
  <si>
    <t>permitetesonar@gmail.com</t>
  </si>
  <si>
    <t>Montserrat Martinez</t>
  </si>
  <si>
    <t>anandatori99@hotmail.com</t>
  </si>
  <si>
    <t xml:space="preserve">Anura </t>
  </si>
  <si>
    <t xml:space="preserve"> Curso de inteligencia emocional</t>
  </si>
  <si>
    <t>Reyes Martínez Cortés</t>
  </si>
  <si>
    <t>lecturalia67@gmail.com</t>
  </si>
  <si>
    <t>Julian Saugy</t>
  </si>
  <si>
    <t>juliansaugy@gmail.com</t>
  </si>
  <si>
    <t>William Villamiza</t>
  </si>
  <si>
    <t>A01715516@tec.mx</t>
  </si>
  <si>
    <t>Luis Enrique Najera Veloz</t>
  </si>
  <si>
    <t>A01710839@tec.mx</t>
  </si>
  <si>
    <t>Deysi de Dios</t>
  </si>
  <si>
    <t>daysyd@me.com</t>
  </si>
  <si>
    <t>Carlos López</t>
  </si>
  <si>
    <t>clopez3@gmail.com</t>
  </si>
  <si>
    <t>Evelyn Karina Castrillon Villa</t>
  </si>
  <si>
    <t>evelcastrillon29@gmail.com</t>
  </si>
  <si>
    <t>Gabriela Zuniga Tortos</t>
  </si>
  <si>
    <t>gabrielazun@gmail.com</t>
  </si>
  <si>
    <t>Sheyla Varela</t>
  </si>
  <si>
    <t>giselvaar@gmail.com</t>
  </si>
  <si>
    <t>Terapia Oro Miofuncional</t>
  </si>
  <si>
    <t>Celia Santamaria</t>
  </si>
  <si>
    <t>celiasantamarianeuropsicologia@gmail.com</t>
  </si>
  <si>
    <t>Mari Carmen Conejero</t>
  </si>
  <si>
    <t>mconejero@diagrama.org</t>
  </si>
  <si>
    <t>Diplomado en Intervención Psicológica en Trauma Infantil: Heridas Emocionales y Abuso Sexual</t>
  </si>
  <si>
    <t>Luiz acarlos Brrnine</t>
  </si>
  <si>
    <t>hnoluiscarlos@gmail.com</t>
  </si>
  <si>
    <t>Carolina Sandoval</t>
  </si>
  <si>
    <t>Carosandoval1178@gmail.com</t>
  </si>
  <si>
    <t>ivoniabonillaconsultora@gmail.com</t>
  </si>
  <si>
    <t>Bet Bertran</t>
  </si>
  <si>
    <t>betbertran@gmail.com</t>
  </si>
  <si>
    <t>Curso de Coaching Familiar</t>
  </si>
  <si>
    <t>Andreea Nicolescu</t>
  </si>
  <si>
    <t>an09.am@gmail.com</t>
  </si>
  <si>
    <t>Aylin Zúñiga</t>
  </si>
  <si>
    <t>aylin.azr@gmail.com</t>
  </si>
  <si>
    <t>Eva Ojalvo Flores</t>
  </si>
  <si>
    <t>evaojalvopsicologia@gmail.com</t>
  </si>
  <si>
    <t>Veronika</t>
  </si>
  <si>
    <t>Nicolas</t>
  </si>
  <si>
    <t xml:space="preserve">Curso Terapias de 3ª Generación </t>
  </si>
  <si>
    <t>Remei naya</t>
  </si>
  <si>
    <t>fooddesignar@gmail.com</t>
  </si>
  <si>
    <t>Nati Prados</t>
  </si>
  <si>
    <t>Tiempo No Disponible</t>
  </si>
  <si>
    <t>Pablo Villagran Fernández de bobadilla</t>
  </si>
  <si>
    <t>pablovillagran.22@campuscamara.es</t>
  </si>
  <si>
    <t>Roser Toquero</t>
  </si>
  <si>
    <t>rosertoquero@gmail.com</t>
  </si>
  <si>
    <t>miriam anahi villegas medina</t>
  </si>
  <si>
    <t>villegasanahi1@gmail.com</t>
  </si>
  <si>
    <t>Diplomado en Psicología Organizacional y Liderazgo</t>
  </si>
  <si>
    <t>Laura Guzman</t>
  </si>
  <si>
    <t>lguzcha@gmail.com</t>
  </si>
  <si>
    <t>Mariana Verdugo</t>
  </si>
  <si>
    <t>mariana.verdugop19@gmail.com</t>
  </si>
  <si>
    <t>Diplomado en Comunicación Aumentativa y Tecnologías de Apoyo</t>
  </si>
  <si>
    <t>Ana Palomo</t>
  </si>
  <si>
    <t xml:space="preserve">Diplomado en Tratamientos para las Adicciones Conductuales </t>
  </si>
  <si>
    <t>Adriana</t>
  </si>
  <si>
    <t>19/10/25</t>
  </si>
  <si>
    <t>Karin Chelen</t>
  </si>
  <si>
    <t>karinchelen@gmail.com</t>
  </si>
  <si>
    <t>Alba Jerez Escobedo</t>
  </si>
  <si>
    <t>aljees89@outlook.es</t>
  </si>
  <si>
    <t>oscar camacho trujillo</t>
  </si>
  <si>
    <t>octpelao@hotmail.com</t>
  </si>
  <si>
    <t>ruiz ojeda</t>
  </si>
  <si>
    <t>aroruiz21@gmail.com</t>
  </si>
  <si>
    <t>Milagros Jaramillo</t>
  </si>
  <si>
    <t>milagros1962padron@yahoo.com</t>
  </si>
  <si>
    <t>MARIA CELINA GADDI</t>
  </si>
  <si>
    <t>celinagaddi@hotmail.com</t>
  </si>
  <si>
    <t>633 50 24 41</t>
  </si>
  <si>
    <t>699 49 38 14</t>
  </si>
  <si>
    <t xml:space="preserve">Eduardo </t>
  </si>
  <si>
    <t>56 9 8436 5771</t>
  </si>
  <si>
    <t>Alba Rocio</t>
  </si>
  <si>
    <t>57 314 2196821</t>
  </si>
  <si>
    <t xml:space="preserve">Curso de Terapias de 3 Genereracion </t>
  </si>
  <si>
    <t>SINDY NATALIE LÓPEZ TAPIA</t>
  </si>
  <si>
    <t>sindynatalielopeztapia@gmail.com</t>
  </si>
  <si>
    <t>Mayder Cortés Ballestero</t>
  </si>
  <si>
    <t>Angela Rodriguez Bueno</t>
  </si>
  <si>
    <t>angelorum222@gmail.com</t>
  </si>
  <si>
    <t>Erika Meza</t>
  </si>
  <si>
    <t>52 1 612 291 3267</t>
  </si>
  <si>
    <t>34 675 40 95 64</t>
  </si>
  <si>
    <t>Curso de Arteterapia y Aplicaciones Clínicas</t>
  </si>
  <si>
    <t>Thelma Reyes</t>
  </si>
  <si>
    <t>thelma.reyeslav@gmail.com</t>
  </si>
  <si>
    <t>Ainhoa Iturgaiz Erviti</t>
  </si>
  <si>
    <t>iturainhoa9@hotmail.com</t>
  </si>
  <si>
    <t>Thais</t>
  </si>
  <si>
    <t>camiladossantosthais@gmail.com</t>
  </si>
  <si>
    <t>Zunilda Ruiz</t>
  </si>
  <si>
    <t>57 320 7921081</t>
  </si>
  <si>
    <t>Andrea Marta Medina</t>
  </si>
  <si>
    <t xml:space="preserve">Francisco </t>
  </si>
  <si>
    <t>24 de Octobre de 2025</t>
  </si>
  <si>
    <t>Mar Márquez</t>
  </si>
  <si>
    <t>asesoria.marmarquez@gmail.com</t>
  </si>
  <si>
    <t>test test</t>
  </si>
  <si>
    <t>Prueba</t>
  </si>
  <si>
    <t>Por atender</t>
  </si>
  <si>
    <t xml:space="preserve">Javier Calderón </t>
  </si>
  <si>
    <t>Diplomado sobre el Tratamiento de los Trastornos del sueño</t>
  </si>
  <si>
    <t>Santiago</t>
  </si>
  <si>
    <t>Test para Detectar Abuso Infantil</t>
  </si>
  <si>
    <t>Adriana Aguirre Medellin</t>
  </si>
  <si>
    <t>OSCAR ROS TORRES</t>
  </si>
  <si>
    <t>oscarros@forummontau.com</t>
  </si>
  <si>
    <t>Fatima Vallet</t>
  </si>
  <si>
    <t>fatimavallet@ipgformacion.es</t>
  </si>
  <si>
    <t>Laura Prados</t>
  </si>
  <si>
    <t>lauraprago@gmail.com</t>
  </si>
  <si>
    <t>Irene González López de Arroyabe</t>
  </si>
  <si>
    <t>irene.glarroyabe2@gmail.com</t>
  </si>
  <si>
    <t>Francisca Madero</t>
  </si>
  <si>
    <t>francisca.madero@gmail.com</t>
  </si>
  <si>
    <t>Maria Jose Argüello</t>
  </si>
  <si>
    <t>maryjoebonillat@outlook.com</t>
  </si>
  <si>
    <t>Carla Ludmila Pellettieri</t>
  </si>
  <si>
    <t>clpellettieri@gmail.com</t>
  </si>
  <si>
    <t>Estrella Palacios</t>
  </si>
  <si>
    <t>estelapalro@gmail.com</t>
  </si>
  <si>
    <t>PERLA ORTEGA</t>
  </si>
  <si>
    <t>perla.ort@gmail.com</t>
  </si>
  <si>
    <t>Desire Abrante</t>
  </si>
  <si>
    <t>desire.abrante@gmail.com</t>
  </si>
  <si>
    <t>Curso sobre psicología afirmativa LGTBI+</t>
  </si>
  <si>
    <t>Javier Quiroz</t>
  </si>
  <si>
    <t>51 992 196 891</t>
  </si>
  <si>
    <t>SARA GARCÍA</t>
  </si>
  <si>
    <t>sara.garcia.cillero@hotmail.com</t>
  </si>
  <si>
    <t>Manuela</t>
  </si>
  <si>
    <t>hermarma@hotmail.com</t>
  </si>
  <si>
    <t>Evelyn Basoalto Bustos</t>
  </si>
  <si>
    <t>evbasoalto@yahoo.es</t>
  </si>
  <si>
    <t>Raúl González</t>
  </si>
  <si>
    <t>raulgr@cop.es</t>
  </si>
  <si>
    <t>Diplomado en Manejo Psicológico del Dolor Crónico y de la Adherencia al Tratamiento</t>
  </si>
  <si>
    <t>Eugenia García</t>
  </si>
  <si>
    <t>eugeniademalaga@gmail.com</t>
  </si>
  <si>
    <t>Diplomado en Intervención Psicológica Multicultural: Competencias y Protocolos Adaptados</t>
  </si>
  <si>
    <t>Nassira Demnati</t>
  </si>
  <si>
    <t>dmznassira@gmail.com</t>
  </si>
  <si>
    <t>Maria Jesus Perez Zarate</t>
  </si>
  <si>
    <t>mariajperez177@gmail.com</t>
  </si>
  <si>
    <t>ANA INIESTA SANZ SANZ</t>
  </si>
  <si>
    <t>ainsabarcelona@hotmail.es</t>
  </si>
  <si>
    <t>Graciela Montes</t>
  </si>
  <si>
    <t>graciela.montes.ruiz@gmail.com</t>
  </si>
  <si>
    <t>Diplomado en Psicología Positiva y Bienestar Integral</t>
  </si>
  <si>
    <t>Nuria González Bennasar</t>
  </si>
  <si>
    <t>nuriagonzalezbennasar@gmail.com</t>
  </si>
  <si>
    <t>Diana Gutierrez</t>
  </si>
  <si>
    <t>dgnavegando@gmail.com</t>
  </si>
  <si>
    <t>Natalia Molina</t>
  </si>
  <si>
    <t>nataliusms1@gmail.com</t>
  </si>
  <si>
    <t>Curso de programación de implantes</t>
  </si>
  <si>
    <t>PSIKO APRENDE (COL)</t>
  </si>
  <si>
    <t>Yoneidys</t>
  </si>
  <si>
    <t>34 645 70 82 28</t>
  </si>
  <si>
    <t>Curso de Escritura Terapéutica y Narrativ</t>
  </si>
  <si>
    <t>Antonio Domínguez González</t>
  </si>
  <si>
    <t>dominguezgonzalezantonia@gmail.com</t>
  </si>
  <si>
    <t>Victoria Sepulveda</t>
  </si>
  <si>
    <t>56 9 5108 6363</t>
  </si>
  <si>
    <t xml:space="preserve">Cursos Online sobre las Adicciones y Conductas Compulsivas </t>
  </si>
  <si>
    <t>diego.landaeta.g@gmail.com</t>
  </si>
  <si>
    <t>Dayana Sandrea</t>
  </si>
  <si>
    <t>dayanapsikoaprende@gmail.com</t>
  </si>
  <si>
    <t>Curso de Terapia de Movimiento en la Salud Mental</t>
  </si>
  <si>
    <t>RHINA MARGARITA Lovo Castelar</t>
  </si>
  <si>
    <t>dr.rhinalovo@gmail.com</t>
  </si>
  <si>
    <t>Silvio Fernández</t>
  </si>
  <si>
    <t>Silviofernandez123@hotmail.com</t>
  </si>
  <si>
    <t>raquel Betancor Rodriguez</t>
  </si>
  <si>
    <t>raquelabr@hotmail.es</t>
  </si>
  <si>
    <t>Lourdes de la red</t>
  </si>
  <si>
    <t>lurdis1976@gmail.com</t>
  </si>
  <si>
    <t>Miryam Fenoll</t>
  </si>
  <si>
    <t>Veronica verá</t>
  </si>
  <si>
    <t>verovera1590@gmail.com</t>
  </si>
  <si>
    <t>gabriela gazitua</t>
  </si>
  <si>
    <t>gaviotag@gmail.com</t>
  </si>
  <si>
    <t>Diplomado en Psicopedagogía Inclusiva</t>
  </si>
  <si>
    <t>Alejandra Videla</t>
  </si>
  <si>
    <t>alevidelab@gmail.com</t>
  </si>
  <si>
    <t>Tania García</t>
  </si>
  <si>
    <t>tazmagasa@gmail.com</t>
  </si>
  <si>
    <t>INGRID JISSETH PATIÑO ACEVEDO</t>
  </si>
  <si>
    <t>ingrid.psicologa8@hotmail.com</t>
  </si>
  <si>
    <t>Curso de Participación Ciudadana y Empoderamiento Comunitario</t>
  </si>
  <si>
    <t>Yanira Suárez González</t>
  </si>
  <si>
    <t>yancnp@hotmail.com</t>
  </si>
  <si>
    <t>34 671 29 89 12</t>
  </si>
  <si>
    <t>56 9 6795 5639</t>
  </si>
  <si>
    <t>Carmen</t>
  </si>
  <si>
    <t>colibrihoo@yahoo.com.mx</t>
  </si>
  <si>
    <t>Cristina Palou Aguilar</t>
  </si>
  <si>
    <t>kristina.palou@gmail.com</t>
  </si>
  <si>
    <t>Estefanía Acosta Hernández</t>
  </si>
  <si>
    <t>estefania.acostahdz@gmail.com</t>
  </si>
  <si>
    <t>Máster en Intervención Clínica y Comunitaria en Adicciones</t>
  </si>
  <si>
    <t>Micaela Escobar</t>
  </si>
  <si>
    <t>micaelaescobar@hotmail.com</t>
  </si>
  <si>
    <t>Daniela Rodríguez Santos</t>
  </si>
  <si>
    <t>darodriguezsena@gmail.com</t>
  </si>
  <si>
    <t>María Pardo Ruiz</t>
  </si>
  <si>
    <t>maria.pardo@caritasmadrid.org</t>
  </si>
  <si>
    <t xml:space="preserve">Sonia Bordón </t>
  </si>
  <si>
    <t>sonia_suecia@yahoo.es</t>
  </si>
  <si>
    <t>Javiera Reyes</t>
  </si>
  <si>
    <t>johana Iacopelli</t>
  </si>
  <si>
    <t>johana@iacopelli.ch</t>
  </si>
  <si>
    <t>Vanessa Rodriguez</t>
  </si>
  <si>
    <t>vnner24@gmail.com</t>
  </si>
  <si>
    <t>Carmen Cruz Cornejo</t>
  </si>
  <si>
    <t>carmencruzsevilla80@gmail.com</t>
  </si>
  <si>
    <t>Irene Cifuentes</t>
  </si>
  <si>
    <t>irenecifuentesmerino@gmail.com</t>
  </si>
  <si>
    <t>Iolanda Bertos</t>
  </si>
  <si>
    <t>iolanda.bertos@gmail.com</t>
  </si>
  <si>
    <t>Diplomado en Terapias Expresivas: Movimiento, Arte y Transformación Psicológica</t>
  </si>
  <si>
    <t>Raquel</t>
  </si>
  <si>
    <t>raquel.jh@outlook.com</t>
  </si>
  <si>
    <t>Isabel Menargues</t>
  </si>
  <si>
    <t>isabelmenargues66@gmail.com</t>
  </si>
  <si>
    <t>Laura Tabernero Vazquez</t>
  </si>
  <si>
    <t>LAURATAB@GMAIL.COM</t>
  </si>
  <si>
    <t>Bert</t>
  </si>
  <si>
    <t>lahabitaciondemima@gmail.com</t>
  </si>
  <si>
    <t>Irene Canals Soler</t>
  </si>
  <si>
    <t>elsalanchaster@gmail.com</t>
  </si>
  <si>
    <t>Rosa Martínez Jarquin</t>
  </si>
  <si>
    <t>rosymj89@gmail.com</t>
  </si>
  <si>
    <t>sandra del olmo</t>
  </si>
  <si>
    <t>sandradelolmo.@gmail.com</t>
  </si>
  <si>
    <t>Ruth Morales</t>
  </si>
  <si>
    <t>Samantha Pérez</t>
  </si>
  <si>
    <t>azalia.perez.marquez@gmail.com</t>
  </si>
  <si>
    <t>Elo Hernández</t>
  </si>
  <si>
    <t>eloysara2531@gmail.com</t>
  </si>
  <si>
    <t>Sharling Hernández j</t>
  </si>
  <si>
    <t>sharlinghernandezjimenez@gmail.com</t>
  </si>
  <si>
    <t>Giovanna Peraza</t>
  </si>
  <si>
    <t>giova.anna@outlook.es</t>
  </si>
  <si>
    <t>Noelia</t>
  </si>
  <si>
    <t>34 671 72 23 92</t>
  </si>
  <si>
    <t>Abril Pérez Torres</t>
  </si>
  <si>
    <t>abrilpt3@gmail.com</t>
  </si>
  <si>
    <t>Marianne</t>
  </si>
  <si>
    <t>bodeguitacr506@gmail.com</t>
  </si>
  <si>
    <t>Diplomado en Neurociencia Cognitiva y Terapias de Rehabilitación</t>
  </si>
  <si>
    <t>Olga María Suàrez Traba</t>
  </si>
  <si>
    <t>olga_suarez_traba@yahoo.es</t>
  </si>
  <si>
    <t>57 321 3002422</t>
  </si>
  <si>
    <t>Maria Eugenia Briceño</t>
  </si>
  <si>
    <t>34 632 99 28 37</t>
  </si>
  <si>
    <t xml:space="preserve">Máster en Voz Profesional y Foniatría </t>
  </si>
  <si>
    <t>Mariya Koynarova</t>
  </si>
  <si>
    <t>mkoinareva@gmail.com</t>
  </si>
  <si>
    <t>Esther Pérez</t>
  </si>
  <si>
    <t>estherperezpsico@gmail.com</t>
  </si>
  <si>
    <t>Sara Montes Álvarez</t>
  </si>
  <si>
    <t>saramontes.12@hotmail.com</t>
  </si>
  <si>
    <t>Carmen Marcos</t>
  </si>
  <si>
    <t>carmenmarcosmarco@live.com</t>
  </si>
  <si>
    <t>YENNY ALEXANDRA PAEZ ROJAS</t>
  </si>
  <si>
    <t>jeny_paez_rojas@hotmail.com</t>
  </si>
  <si>
    <t>Curso de rehabilitación vestibular práctica</t>
  </si>
  <si>
    <t>Belen izquierdo</t>
  </si>
  <si>
    <t>bizqjul90@gmail.com</t>
  </si>
  <si>
    <t>Donia Chaloupka</t>
  </si>
  <si>
    <t>1 (510) 708-6387</t>
  </si>
  <si>
    <t>Diplomado de Psicotraumatología Clínica</t>
  </si>
  <si>
    <t>José Antonio Morales Pérez</t>
  </si>
  <si>
    <t>morales_10488@hotmail.com</t>
  </si>
  <si>
    <t>Diplomado en Logopedia Forense y Peritaje Especializado</t>
  </si>
  <si>
    <t>Lesli jiamileth delcid miranda</t>
  </si>
  <si>
    <t>ldecidmiranda@gmail.com</t>
  </si>
  <si>
    <t>carmen garcia</t>
  </si>
  <si>
    <t>cargarhig@gmail.com</t>
  </si>
  <si>
    <t>Jessica Giraldo</t>
  </si>
  <si>
    <t>jessi.giraldoaristizabal@gmail.com</t>
  </si>
  <si>
    <t>21711/25</t>
  </si>
  <si>
    <t>Antonella Paola Caligiuri</t>
  </si>
  <si>
    <t>apcaligiuri@hotmail.com</t>
  </si>
  <si>
    <t>Lois Melendez</t>
  </si>
  <si>
    <t>Loismelrose@gmail.com</t>
  </si>
  <si>
    <t>Maria Barreto</t>
  </si>
  <si>
    <t>maanbargut@gmail.com</t>
  </si>
  <si>
    <t>Curso de Evaluación Clínica e Instrumental de la Deglución</t>
  </si>
  <si>
    <t>Miguel Olivera Vázquez</t>
  </si>
  <si>
    <t>migueolivera@gmail.com</t>
  </si>
  <si>
    <t>Sonia Miguel Nuez</t>
  </si>
  <si>
    <t>sonia.logopeda@gmail.com</t>
  </si>
  <si>
    <t>Máster en Tartamudez y Trastornos de la Fluidez</t>
  </si>
  <si>
    <t>Maria Sanz de la Garza</t>
  </si>
  <si>
    <t>meriluprime@hotmail.com</t>
  </si>
  <si>
    <t>Máster en Psicología Aplicada a la Salud, Bienestar y Cambio Conductual</t>
  </si>
  <si>
    <t>Estuardo Cobo</t>
  </si>
  <si>
    <t>estuardo_cobo@yahoo.es</t>
  </si>
  <si>
    <t>Diplomado en Coaching Ejecutivo y Desarrollo del Talento</t>
  </si>
  <si>
    <t>Margarita Espaillat Neris</t>
  </si>
  <si>
    <t>margoespa@gmail.com</t>
  </si>
  <si>
    <t>Elisabeth Oliver</t>
  </si>
  <si>
    <t>34 606 30 44 17</t>
  </si>
  <si>
    <t xml:space="preserve">Máster en Coaching Holístico y Life Coaching </t>
  </si>
  <si>
    <t>Paula Paradiso</t>
  </si>
  <si>
    <t>paulasofiaparadiso@gmail.com</t>
  </si>
  <si>
    <t>Alida Arteaga Arce</t>
  </si>
  <si>
    <t>ali.alleyda@gmail.com</t>
  </si>
  <si>
    <t>Beatriz Bermejo de Migurl</t>
  </si>
  <si>
    <t>bbdmi82@hotmail.com</t>
  </si>
  <si>
    <t>AINHOA KATARAIN</t>
  </si>
  <si>
    <t>ainhoakatarain@yahoo.com</t>
  </si>
  <si>
    <t>Alberth</t>
  </si>
  <si>
    <t>57 312 4369965</t>
  </si>
  <si>
    <t>Silvia Sánchez</t>
  </si>
  <si>
    <t>silvia.sanchez@factorial.co</t>
  </si>
  <si>
    <t>Liz Karina Miranda Pezoa</t>
  </si>
  <si>
    <t>kari.jobs.29@gmail.com</t>
  </si>
  <si>
    <t>Nicolau Mateu Llorens</t>
  </si>
  <si>
    <t>nicomateu95@gmail.com</t>
  </si>
  <si>
    <t>Diana Iris</t>
  </si>
  <si>
    <t>52 1 378 108 4432</t>
  </si>
  <si>
    <t xml:space="preserve"> Curso de Terapia a través del Movimiento y la Danza</t>
  </si>
  <si>
    <t>Joaquín Guerrero</t>
  </si>
  <si>
    <t>jqngch@gmail.com</t>
  </si>
  <si>
    <t>beatriz helena perez</t>
  </si>
  <si>
    <t>tizhelena2015@gmail.com</t>
  </si>
  <si>
    <t>Eva</t>
  </si>
  <si>
    <t>52 1 867 308 7734</t>
  </si>
  <si>
    <t>Diplomado en Prevención y Tratamiento del Consumo de Sustancias</t>
  </si>
  <si>
    <t>RAQUEL MORELL GUIOTE</t>
  </si>
  <si>
    <t>raquelmogui@gmail.com</t>
  </si>
  <si>
    <t>Israel Flores</t>
  </si>
  <si>
    <t>israflog@gmail.com</t>
  </si>
  <si>
    <t>Máster en Psicología de la Salud e Intervención en Procesos Crónicos</t>
  </si>
  <si>
    <t>Elizabeth Prudencio</t>
  </si>
  <si>
    <t>elienaleatorio07@gmail.com</t>
  </si>
  <si>
    <t>Esther del Alba</t>
  </si>
  <si>
    <t>delalbaesther@gmail.com</t>
  </si>
  <si>
    <t>laura@munay.es</t>
  </si>
  <si>
    <t>SELVA DANAE PEZÚA OCAÑA</t>
  </si>
  <si>
    <t>danae.pezu@gmail.com</t>
  </si>
  <si>
    <t>Diplomado en Intervención Psicológica Online y Marco Ético-Digital</t>
  </si>
  <si>
    <t>Consuelo López Dupla Monturus</t>
  </si>
  <si>
    <t>consuelolopezdupla@gmail.com</t>
  </si>
  <si>
    <t>Logopeda Perito Forense</t>
  </si>
  <si>
    <t>Paula Celestino</t>
  </si>
  <si>
    <t>paulacelestinopsicologa@gmail.com</t>
  </si>
  <si>
    <t>Sophia</t>
  </si>
  <si>
    <t>sophiarraez@gmail.co</t>
  </si>
  <si>
    <t xml:space="preserve">Noemí </t>
  </si>
  <si>
    <t>34 699 40 76 04</t>
  </si>
  <si>
    <t>Rocío Bárrz</t>
  </si>
  <si>
    <t>rociobarezcanamero@gmail.com</t>
  </si>
  <si>
    <t>jose carlos zarate bustinza</t>
  </si>
  <si>
    <t>joselitojcsud@hotmail.com</t>
  </si>
  <si>
    <t>34 665 61 66 66</t>
  </si>
  <si>
    <t>Milagros Carou</t>
  </si>
  <si>
    <t>milagroscarou@hotmail.com.ar</t>
  </si>
  <si>
    <t>Iría Echavarry</t>
  </si>
  <si>
    <t>iria_echavarry@hotmail.com</t>
  </si>
  <si>
    <t>María Verónica Salazar</t>
  </si>
  <si>
    <t>tsubacita960@gmail.com</t>
  </si>
  <si>
    <t>Diplomado en Educación Sexual Integral</t>
  </si>
  <si>
    <t>Mónica Sánchez</t>
  </si>
  <si>
    <t>monikasanchez1803@gmail.com</t>
  </si>
  <si>
    <t>Miriam Osorio</t>
  </si>
  <si>
    <t>Osomarmirlen@gmail.com</t>
  </si>
  <si>
    <t>Reyna Tovar</t>
  </si>
  <si>
    <t>tovardeynis76@gmail.com</t>
  </si>
  <si>
    <t>Juana Sicilia</t>
  </si>
  <si>
    <t>junovella82@gmail.com</t>
  </si>
  <si>
    <t>Vargas Laura</t>
  </si>
  <si>
    <t>laumarian29@gmail.com</t>
  </si>
  <si>
    <t>Lucila Andrades</t>
  </si>
  <si>
    <t>lu.andradesm@gmail.com</t>
  </si>
  <si>
    <t>Sofia Torné</t>
  </si>
  <si>
    <t>so.torne@gmail.com</t>
  </si>
  <si>
    <t>Irantzu Gutiérrez</t>
  </si>
  <si>
    <t>irantzugz@gmail.com</t>
  </si>
  <si>
    <t>Rosa paris</t>
  </si>
  <si>
    <t>rosaparis.rosa@gmail.com</t>
  </si>
  <si>
    <t>Silvia Cabrerizo</t>
  </si>
  <si>
    <t>Malena Gonzalez Altuna</t>
  </si>
  <si>
    <t>malenagonzalez@arizmendikide.net</t>
  </si>
  <si>
    <t>Micaela Viraca</t>
  </si>
  <si>
    <t>fonomicaelaviraca@gmail.com</t>
  </si>
  <si>
    <t>Ángela Arroyo</t>
  </si>
  <si>
    <t>angiarroyo1996@gmail.com</t>
  </si>
  <si>
    <t>María Fernanda</t>
  </si>
  <si>
    <t>mfsotogutierrez@gmail.com</t>
  </si>
  <si>
    <t>Sabrina Acuna</t>
  </si>
  <si>
    <t>sabrigi@hotmail.com</t>
  </si>
  <si>
    <t>Julio Araya</t>
  </si>
  <si>
    <t>juceas1@gmail.com</t>
  </si>
  <si>
    <t>Angela Diaz</t>
  </si>
  <si>
    <t>sanchezdiazangela@gmail.com</t>
  </si>
  <si>
    <t>Erika Ruiz Garcia</t>
  </si>
  <si>
    <t>erikaruizgarcia13@gmail.com</t>
  </si>
  <si>
    <t>Alejandra Delgado Foruria</t>
  </si>
  <si>
    <t>aleforuria@gmail.com</t>
  </si>
  <si>
    <t>Celia</t>
  </si>
  <si>
    <t>34 678 36 89 95</t>
  </si>
  <si>
    <t>Curso sobre el Trastorno de Déficit de Atención e Hiperactividad (TDAH</t>
  </si>
  <si>
    <t>Montse Benítez</t>
  </si>
  <si>
    <t>52 1 56 1555 8423</t>
  </si>
  <si>
    <t>Claudia Hernandez Sanchez</t>
  </si>
  <si>
    <t>dagors70@live.com.mx</t>
  </si>
  <si>
    <t>AMANDA DIAZ</t>
  </si>
  <si>
    <t>amadisa023@gmail.colm</t>
  </si>
  <si>
    <t>Isabel Sesma</t>
  </si>
  <si>
    <t>isesmaglz@gmail.com</t>
  </si>
  <si>
    <t>Clara Tomas</t>
  </si>
  <si>
    <t>tclarica@gmail.com</t>
  </si>
  <si>
    <t>Juan Carlos Ortiz</t>
  </si>
  <si>
    <t>Daniela Soto Valenzuela</t>
  </si>
  <si>
    <t>danignaciasoto@gmail.com</t>
  </si>
  <si>
    <t>Abi Azueta</t>
  </si>
  <si>
    <t>abigailazueta@gmail.com</t>
  </si>
  <si>
    <t>Haizea Urra</t>
  </si>
  <si>
    <t>haizeua@gmail.com</t>
  </si>
  <si>
    <t>Angie Daniela Hernández Alarcón</t>
  </si>
  <si>
    <t>angiedanielaha01@gmail.com</t>
  </si>
  <si>
    <t>Paula Cristóbal Sanz</t>
  </si>
  <si>
    <t>jcristobal2@gmail.com</t>
  </si>
  <si>
    <t>Curso de Mindfulness</t>
  </si>
  <si>
    <t>Juan Cristóbal Barrios</t>
  </si>
  <si>
    <t>Natalia Carrer González</t>
  </si>
  <si>
    <t>ncarrerg@gmail.com</t>
  </si>
  <si>
    <t>Maria Solis</t>
  </si>
  <si>
    <t>Miraclerosie2024@gmail.com</t>
  </si>
  <si>
    <t>Terapia habla y trastornos de alimentación y deglución</t>
  </si>
  <si>
    <t>Francisca</t>
  </si>
  <si>
    <t>fquirogam@gmail.com</t>
  </si>
  <si>
    <t>Andrea R</t>
  </si>
  <si>
    <t>andrearoigpascual@hotmail.es</t>
  </si>
  <si>
    <t>Diplomado en Tecnologías Avanzadas Aplicadas a la Logopedia</t>
  </si>
  <si>
    <t>Iann Carreño</t>
  </si>
  <si>
    <t>ianncajua@gmail.com</t>
  </si>
  <si>
    <r>
      <rPr>
        <u/>
        <sz val="10"/>
        <color rgb="FF1155CC"/>
        <rFont val="Arial"/>
      </rPr>
      <t>Yilita1987@hotmail.com</t>
    </r>
  </si>
  <si>
    <t>edurne B</t>
  </si>
  <si>
    <t>ebaqueroarellano@gmail.com</t>
  </si>
  <si>
    <t>Margarita</t>
  </si>
  <si>
    <t>mdemurcia63@gmail.com</t>
  </si>
  <si>
    <t>ananda01@hotmail.es</t>
  </si>
  <si>
    <t>Laura Markels</t>
  </si>
  <si>
    <t>lmarkels@gmail.com</t>
  </si>
  <si>
    <t>Carolina Cartasegna</t>
  </si>
  <si>
    <t>caro_cartasegna@hotmail.com</t>
  </si>
  <si>
    <t>Diplomado en Terapia Sexual y de Pareja</t>
  </si>
  <si>
    <t>Karla</t>
  </si>
  <si>
    <t>593 99 471 3663</t>
  </si>
  <si>
    <t xml:space="preserve">Máster en Disfagia y Trastornos de la Deglución </t>
  </si>
  <si>
    <t>Sol</t>
  </si>
  <si>
    <t>595 972 114708</t>
  </si>
  <si>
    <t xml:space="preserve"> Máster en Disfagia y Trastornos de la Deglución</t>
  </si>
  <si>
    <t>Rosario Couto</t>
  </si>
  <si>
    <t>charocl@gmail.com</t>
  </si>
  <si>
    <t>Yenis montes</t>
  </si>
  <si>
    <t>yenifermontes16@gmail.com</t>
  </si>
  <si>
    <t>Amanda López Ibáñez</t>
  </si>
  <si>
    <t>amanda.lopeziba@gmail.com</t>
  </si>
  <si>
    <t>Diana Martín Ros</t>
  </si>
  <si>
    <t>dmartinros@gmail.com</t>
  </si>
  <si>
    <t>1 (305) 900-0096</t>
  </si>
  <si>
    <t>Máster en Alimentación y Deglución en el Ciclo Vital</t>
  </si>
  <si>
    <t>Carolina Elgueta</t>
  </si>
  <si>
    <t>carolina.elgueta.l@gmail.com</t>
  </si>
  <si>
    <t>Ivette Caballero Medina</t>
  </si>
  <si>
    <t>ivettecm21@gmail.com</t>
  </si>
  <si>
    <t>María Luisa Fidalgo</t>
  </si>
  <si>
    <t>mariafidalgosesma@hotmail.com</t>
  </si>
  <si>
    <t>Daniela Baeza</t>
  </si>
  <si>
    <t>baezajofre@gmail.com</t>
  </si>
  <si>
    <t>Adriana Nahum</t>
  </si>
  <si>
    <t>Vivian Díaz Lobos</t>
  </si>
  <si>
    <t>unavivian@gmail.com</t>
  </si>
  <si>
    <t>Diplomado en Terapias Narrativas y Escénicas: Escritura, Psicodrama y Dramaterapia</t>
  </si>
  <si>
    <t>Rosana Chicaiza Carrillo</t>
  </si>
  <si>
    <t>carrillorous27@gmail.com</t>
  </si>
  <si>
    <t>Diplomado en Neuroevaluación Psicológica y Análisis Psicométrico para la Práctica Clínica</t>
  </si>
  <si>
    <t>Virginia Sanmartín Aparicio</t>
  </si>
  <si>
    <t>virginia.sanmartin92@gmail.com</t>
  </si>
  <si>
    <t>Curso sobre Intervención Psicosocial en Grupos Vulnerables</t>
  </si>
  <si>
    <t>David Muñiz Martinez</t>
  </si>
  <si>
    <t>dav_0126@hotmail.com</t>
  </si>
  <si>
    <t>Ivet figueras</t>
  </si>
  <si>
    <t>Irene ANTOLIN</t>
  </si>
  <si>
    <t>irene@singaswitzerland.ch</t>
  </si>
  <si>
    <t>Máster en Psicología Comunitaria, Arte Terapéutico y Narrativa Transformadora</t>
  </si>
  <si>
    <t>zulema soria</t>
  </si>
  <si>
    <t>zulemasoria@yahoo.com.ar</t>
  </si>
  <si>
    <t>Curso de Programación y Seguimiento de Implantes Cocleares</t>
  </si>
  <si>
    <t>Sofia Hernandez Lomelin</t>
  </si>
  <si>
    <t>sofhl7610@gmail.com</t>
  </si>
  <si>
    <t>Ruben Vargas Jiménez</t>
  </si>
  <si>
    <t>ruben.vargas.jimenez@hotmil.com</t>
  </si>
  <si>
    <t>Consuelo Tamara Sanchez Arevalo</t>
  </si>
  <si>
    <t>flga.consuelosanchez@gmail.com</t>
  </si>
  <si>
    <t>Laura Sanz Barroso</t>
  </si>
  <si>
    <t>laurasanzbarroso2004@gmail.com</t>
  </si>
  <si>
    <t>Master en Terapia Miofuncional</t>
  </si>
  <si>
    <t>Agustina Barbini</t>
  </si>
  <si>
    <t>barbiniagustina@hotmail.com</t>
  </si>
  <si>
    <t>Marian Landa</t>
  </si>
  <si>
    <t>mlandab@gmail.com</t>
  </si>
  <si>
    <t>Luz María Teresa Soto Espina</t>
  </si>
  <si>
    <t>luzsoto.es@gmail.com</t>
  </si>
  <si>
    <t>Máster en Psicología Forense y Jurídica</t>
  </si>
  <si>
    <t>Máster en Intervención Psicosocial y Trabajo Comunitario en Ámbitos Vulnerables</t>
  </si>
  <si>
    <t>Maritza Chevez</t>
  </si>
  <si>
    <t>arizmasublima@gmail.com</t>
  </si>
  <si>
    <t>Esther Clérigo</t>
  </si>
  <si>
    <t>1/!</t>
  </si>
  <si>
    <t>Romina Alessandria</t>
  </si>
  <si>
    <t>alessandriaromina@yahoo.com</t>
  </si>
  <si>
    <t>Diplomado en Coaching Familiar y Bienestar Integral</t>
  </si>
  <si>
    <t>Carolina Fuentealba</t>
  </si>
  <si>
    <t>carolfzam@gmail.com</t>
  </si>
  <si>
    <t>Julieta Papaolo</t>
  </si>
  <si>
    <t>julipapaolo@gmail.com</t>
  </si>
  <si>
    <t>Adrian Martinez</t>
  </si>
  <si>
    <t>adrian23mg@gmail.com</t>
  </si>
  <si>
    <t>Brizeida Haro</t>
  </si>
  <si>
    <t>brizeidaharo@gmail.com</t>
  </si>
  <si>
    <t>Máster en Neurociencia Aplicada a la Salud Mental y Trastornos Emocionales</t>
  </si>
  <si>
    <t>Janna Citrino</t>
  </si>
  <si>
    <t>vittinitroncoso@gmail.com</t>
  </si>
  <si>
    <t>Sol de Belén Díaz Ramíres</t>
  </si>
  <si>
    <t>Federico</t>
  </si>
  <si>
    <t>598 94 652 698</t>
  </si>
  <si>
    <t xml:space="preserve">Diplomado en Terapia de Aceptación y Compromiso (ACT) </t>
  </si>
  <si>
    <t>Giovanna Ramos</t>
  </si>
  <si>
    <t>52 1 55 4560 2783</t>
  </si>
  <si>
    <t>Lizeth Pacheco</t>
  </si>
  <si>
    <t>lizethpach@gmail.com</t>
  </si>
  <si>
    <t>Gerardo Vázquez</t>
  </si>
  <si>
    <t>vscgerardo@gmail.com</t>
  </si>
  <si>
    <t>Paula navío</t>
  </si>
  <si>
    <t>paunavio@gmail.com</t>
  </si>
  <si>
    <t>Adoracion Armario Luna</t>
  </si>
  <si>
    <t>Romina Jara</t>
  </si>
  <si>
    <t>lalumy_oe@hotmial.com</t>
  </si>
  <si>
    <t>Eva Sánchez</t>
  </si>
  <si>
    <t>evasanchezpsicologia@gmail.com</t>
  </si>
  <si>
    <t>Kimberly Diaz</t>
  </si>
  <si>
    <t>kimberlydandia@gmail.com</t>
  </si>
  <si>
    <t>Eduardo Gutiérrez Calderón</t>
  </si>
  <si>
    <t>eduardogutierrez19561956@gmail.com</t>
  </si>
  <si>
    <t>Ps. ANDRES CORDOVA ASENCIO</t>
  </si>
  <si>
    <t>eternida1.d@gmail.com</t>
  </si>
  <si>
    <t>Daniela Reyes</t>
  </si>
  <si>
    <t>danielareyesgonzalez9@gmail.com</t>
  </si>
  <si>
    <t>Bertha Ramos Del Río</t>
  </si>
  <si>
    <t>becaau@yahoo.com</t>
  </si>
  <si>
    <t>gabriela mercado cardoso</t>
  </si>
  <si>
    <t>gaby_mc25@outlook.com</t>
  </si>
  <si>
    <r>
      <rPr>
        <u/>
        <sz val="10"/>
        <color rgb="FF1155CC"/>
        <rFont val="Arial"/>
      </rPr>
      <t>lulimar.3344@gmail.com</t>
    </r>
  </si>
  <si>
    <t>Floribeth Jan</t>
  </si>
  <si>
    <t>Lluvia Ocampo</t>
  </si>
  <si>
    <t>lluviaocampo58@gmail.com</t>
  </si>
  <si>
    <t>Liliana Duca</t>
  </si>
  <si>
    <t>ducaliliana25@gmail.com</t>
  </si>
  <si>
    <t>ESTHER TREJO ARROYO</t>
  </si>
  <si>
    <t>trejo.arroyo@gmail.com</t>
  </si>
  <si>
    <t>Esther María Vera Plaza</t>
  </si>
  <si>
    <t>estherverita@hotmail.com</t>
  </si>
  <si>
    <t>Bertha Ramos</t>
  </si>
  <si>
    <t>Ingrid Boronko</t>
  </si>
  <si>
    <t>iboronko42@gmail.com</t>
  </si>
  <si>
    <t>Mariel Novelo</t>
  </si>
  <si>
    <t>dra.marielnovelo@gmail.com</t>
  </si>
  <si>
    <t>Sofia Radulovich</t>
  </si>
  <si>
    <t>sofia.radulovich@gmail.com</t>
  </si>
  <si>
    <t>Maria Dolores Vergara Borrego</t>
  </si>
  <si>
    <t>Leslie Garcia</t>
  </si>
  <si>
    <t>503 7520 9856</t>
  </si>
  <si>
    <t>M° Lucía López Moreno</t>
  </si>
  <si>
    <t>lucialmoreno@gmail.com</t>
  </si>
  <si>
    <t>Marta Dueñas</t>
  </si>
  <si>
    <t>marta.duenasg@gmail.com</t>
  </si>
  <si>
    <t>analaxmithn@gmail.com</t>
  </si>
  <si>
    <t>EMILIA VERA GARCÍA</t>
  </si>
  <si>
    <t>emiveragarcia@gmail.com</t>
  </si>
  <si>
    <t>Yakeline Arias Arias</t>
  </si>
  <si>
    <t>yakeline.arias@confa.co</t>
  </si>
  <si>
    <t>Diplomado en Psicopatología en Adultos</t>
  </si>
  <si>
    <t>Alejandra Pérez Pajares</t>
  </si>
  <si>
    <t>aleppajares@gmail.com</t>
  </si>
  <si>
    <t>Covadonga Russo</t>
  </si>
  <si>
    <t>covarusso@gmail.com</t>
  </si>
  <si>
    <t>MARIA Hernández García</t>
  </si>
  <si>
    <t>mariahergar@outlook.com</t>
  </si>
  <si>
    <t>Zarza Ulise</t>
  </si>
  <si>
    <t>uliseszarza@gmail.com</t>
  </si>
  <si>
    <t>Vanessa Rodriguez Cordobés</t>
  </si>
  <si>
    <t>rrpsicologos@gmail.com</t>
  </si>
  <si>
    <t>Paulina Castro</t>
  </si>
  <si>
    <t>Leticia Redondo</t>
  </si>
  <si>
    <t>vtpalomino@gmail.com</t>
  </si>
  <si>
    <t>Lucelia Toledo</t>
  </si>
  <si>
    <t>toledoluceli@gmail.com</t>
  </si>
  <si>
    <t>Cecilia Zapata</t>
  </si>
  <si>
    <t>zapatac013@gmail.com</t>
  </si>
  <si>
    <t>Azahara Morera Diaz</t>
  </si>
  <si>
    <t>azamorera78@gmail.com</t>
  </si>
  <si>
    <t>Ester López Mont</t>
  </si>
  <si>
    <t>esterwilly74@gmail.com</t>
  </si>
  <si>
    <t>Diplomado en Psicoterapia para Enfermedades Psicosomáticas</t>
  </si>
  <si>
    <t>Paola Davalos</t>
  </si>
  <si>
    <t>Psic.paoladavalos@gmail.com</t>
  </si>
  <si>
    <t>Brenda Aguirre</t>
  </si>
  <si>
    <t>jahazbell@hotmail.com</t>
  </si>
  <si>
    <t>Mireia Faura</t>
  </si>
  <si>
    <t>mireiafs.85@gmail.com</t>
  </si>
  <si>
    <t>Garbiñe Pastor</t>
  </si>
  <si>
    <t>Alejandea</t>
  </si>
  <si>
    <t>alepsicoterapia@gmail.com</t>
  </si>
  <si>
    <t>Eliana Vidal Melendez</t>
  </si>
  <si>
    <t>elianavidalm@gmail.com</t>
  </si>
  <si>
    <t>Montsr</t>
  </si>
  <si>
    <t>monsevera79@gmail.com</t>
  </si>
  <si>
    <t>Esther Trejo Arroyo</t>
  </si>
  <si>
    <t>esthertrejoarroyo@gmail.com</t>
  </si>
  <si>
    <t>MELVIN ROMERO IVICA</t>
  </si>
  <si>
    <t>me_time21@hotmail.com</t>
  </si>
  <si>
    <t>Master en voz profesional y foniatria</t>
  </si>
  <si>
    <t>Estrella Dorca</t>
  </si>
  <si>
    <t>estrelladorca.92@gmail.com</t>
  </si>
  <si>
    <t>Karinna Salazar</t>
  </si>
  <si>
    <t>karinnasalazarb@gmail.com</t>
  </si>
  <si>
    <t>Máster en Neurodiversidad, Inclusión y Psicología Funcional</t>
  </si>
  <si>
    <t>Ana Belén González</t>
  </si>
  <si>
    <t>belengonzalez_13@hotmail.co</t>
  </si>
  <si>
    <t>Claudia Belardi</t>
  </si>
  <si>
    <t>ps.claudiabelardi@gmail.com</t>
  </si>
  <si>
    <t>Cristina Oliveros Zapata</t>
  </si>
  <si>
    <t>cristinaoliveros.zapata@gmail.com</t>
  </si>
  <si>
    <t>Maria Carolina Vivanco</t>
  </si>
  <si>
    <t>Viridiana Peralta Ramírez</t>
  </si>
  <si>
    <t>viriperalta.vp@gmail.com</t>
  </si>
  <si>
    <t>María del Carmen Florez Carrasco</t>
  </si>
  <si>
    <t>florez18maria@gmail.com</t>
  </si>
  <si>
    <t>Ana Ruiz</t>
  </si>
  <si>
    <t>aprt.lee@gmail.com</t>
  </si>
  <si>
    <t>Jose Zalba</t>
  </si>
  <si>
    <t>joseizalba@yahoo.es</t>
  </si>
  <si>
    <t>Macarena Kozma</t>
  </si>
  <si>
    <t>Vanesa Cobano</t>
  </si>
  <si>
    <t>asesoradeimagen10@gmail.com</t>
  </si>
  <si>
    <t>Cheli Flavia</t>
  </si>
  <si>
    <t>54 9 2921 42-3959</t>
  </si>
  <si>
    <t>Isabel Alejandra Estrada Galvez</t>
  </si>
  <si>
    <t>ps.estrada@gmail.com</t>
  </si>
  <si>
    <t>Marga</t>
  </si>
  <si>
    <t>Susana Izquierdo Danot</t>
  </si>
  <si>
    <t xml:space="preserve">Maria Fernanda Jácome </t>
  </si>
  <si>
    <t>51 987 120 068</t>
  </si>
  <si>
    <t>Pablo Alfaro</t>
  </si>
  <si>
    <t>gotchieu@gmail.com</t>
  </si>
  <si>
    <t>Kiara Robert Afonso</t>
  </si>
  <si>
    <t>kiararobertafonso@gmail.com</t>
  </si>
  <si>
    <t>Curso de Rehabilitación de la Deglución en Personas Mayores</t>
  </si>
  <si>
    <t>Cristina</t>
  </si>
  <si>
    <t>carolinaalvarez31@hotmail.com</t>
  </si>
  <si>
    <t>Dolores Villarejo Pastor</t>
  </si>
  <si>
    <t>doloresvillarejopastor@gmail.com</t>
  </si>
  <si>
    <t>Laura Maranillo Castillo</t>
  </si>
  <si>
    <t>lauramaranillo@gmail.com</t>
  </si>
  <si>
    <t>Xiomara Hernandez</t>
  </si>
  <si>
    <t>xiomarahernandez2014@outlook.com</t>
  </si>
  <si>
    <t>Máster en Sexología Clínica y Relaciones Conscientes</t>
  </si>
  <si>
    <t>Jennifer Pokuaa Effah</t>
  </si>
  <si>
    <t>LILIPOKUAAJENNY@GMAIL.COM</t>
  </si>
  <si>
    <t>Máster en Psicología Intercultural, Migración y Cooperación Internacional</t>
  </si>
  <si>
    <t>Norma Mancilla</t>
  </si>
  <si>
    <t xml:space="preserve">Máster en Coaching Holistico en Psicología Intercultural y Cooperación Internacional </t>
  </si>
  <si>
    <t>Diana Castillo</t>
  </si>
  <si>
    <t>freesoul32@outlook.com</t>
  </si>
  <si>
    <t>Julieta Monardi</t>
  </si>
  <si>
    <t>Jonathan Stiven Correa Ramírez</t>
  </si>
  <si>
    <t>jonathanstiven.c@gmail.com</t>
  </si>
  <si>
    <t>Lole Vergara</t>
  </si>
  <si>
    <t>52 1 33 1147 2644</t>
  </si>
  <si>
    <t>Ylenia Verde</t>
  </si>
  <si>
    <t>yleniaverde@hotmail.com</t>
  </si>
  <si>
    <t>56 9 8188 2604</t>
  </si>
  <si>
    <t>Adriana Pasaye</t>
  </si>
  <si>
    <t>kutimo2011@hotmail.com</t>
  </si>
  <si>
    <t>fernanda_caroline@hotmail.es</t>
  </si>
  <si>
    <t>Vanessa Cordero</t>
  </si>
  <si>
    <t>layoguiniflamenca@hotmail.com</t>
  </si>
  <si>
    <t>Eva Dias</t>
  </si>
  <si>
    <t>eva.diasdasilva@globalinfraco.com</t>
  </si>
  <si>
    <t>Flor Pineda</t>
  </si>
  <si>
    <t>florpinedabahena@hotmail.com</t>
  </si>
  <si>
    <t>Mariangel Silva</t>
  </si>
  <si>
    <t>mariangel.silva@gmail.com</t>
  </si>
  <si>
    <t>Layla</t>
  </si>
  <si>
    <t>55 83 9865-0262</t>
  </si>
  <si>
    <t>Berenice Merle</t>
  </si>
  <si>
    <t xml:space="preserve"> Máster en Danza Terapia y Expresión Corporal.</t>
  </si>
  <si>
    <t>caminalibresem@gmail.com</t>
  </si>
  <si>
    <t xml:space="preserve"> Curso sobre Trastorno Límite de la Personalidad (TLP) </t>
  </si>
  <si>
    <t>Sandra</t>
  </si>
  <si>
    <t>57 310 2866451</t>
  </si>
  <si>
    <t>56 9 4288 8415</t>
  </si>
  <si>
    <t>Diplomado-en-terapias-narrativas-y-escenicas-escritura-psicodrama-y-dramaterapia/</t>
  </si>
  <si>
    <t>Medina MARTINEZ CYNTHIA</t>
  </si>
  <si>
    <t>Cynthia_309_7@hotmail.com</t>
  </si>
  <si>
    <t>Erika Álvarez</t>
  </si>
  <si>
    <t>erikaalvarezcuervo@gmail.com</t>
  </si>
  <si>
    <t>Gema Escalera</t>
  </si>
  <si>
    <t>gemaescalera@gmail.com</t>
  </si>
  <si>
    <t>María Jesús Carbonell jorge</t>
  </si>
  <si>
    <t>sientepsicologia@gmail.com</t>
  </si>
  <si>
    <t>Nataly</t>
  </si>
  <si>
    <t>54 9 11 3911-0770</t>
  </si>
  <si>
    <t xml:space="preserve">Curso de Terapia A Través del Movimiento y la Danza </t>
  </si>
  <si>
    <t>Itsasne</t>
  </si>
  <si>
    <t>34 681 95 38 28</t>
  </si>
  <si>
    <t xml:space="preserve">Curso de Autenticidad y Desarrollo de la Identidad </t>
  </si>
  <si>
    <t xml:space="preserve">Sonia Cervantes </t>
  </si>
  <si>
    <t>34 722 83 84 67</t>
  </si>
  <si>
    <t xml:space="preserve">Curso sobre Intervención en las 7 Heridas de la Infancia </t>
  </si>
  <si>
    <t>Máster  en Técnica Alexander</t>
  </si>
  <si>
    <t>19/0/26</t>
  </si>
  <si>
    <t>Itzi</t>
  </si>
  <si>
    <t>34 697 25 45 06</t>
  </si>
  <si>
    <t>Marluisnira Paiva</t>
  </si>
  <si>
    <t>51 949 827 582</t>
  </si>
  <si>
    <t xml:space="preserve">Diplomado en Psicología Organizacional y Liderazgo </t>
  </si>
  <si>
    <t>34 659 51 65 23</t>
  </si>
  <si>
    <t>.*</t>
  </si>
  <si>
    <t>PATRICIA ESCANDELL</t>
  </si>
  <si>
    <t>patyescandellpsico@gmail.com</t>
  </si>
  <si>
    <t>patricia escandell</t>
  </si>
  <si>
    <t>Máster en Psicología Clínica de los Trastornos de la Conducta Alimentaria</t>
  </si>
  <si>
    <t>Mariana RODRIGUEZ</t>
  </si>
  <si>
    <t>licmrodriguez16@gmail.com</t>
  </si>
  <si>
    <t>Diplomado en Psicopatología de la Vejez</t>
  </si>
  <si>
    <t>marta ruiz</t>
  </si>
  <si>
    <t>ruizjerez3@yahoo.es</t>
  </si>
  <si>
    <t>nicole zari</t>
  </si>
  <si>
    <t>nicoled.zari@ucuenca.edu.ec</t>
  </si>
  <si>
    <t>Master en Logopedia Forense y Pericial</t>
  </si>
  <si>
    <t>Guillermo Ostos</t>
  </si>
  <si>
    <t>gostosneuropsico@gmail.com</t>
  </si>
  <si>
    <t>Elida</t>
  </si>
  <si>
    <t>52 1 55 4259 2577</t>
  </si>
  <si>
    <t>paula.pontes@opendeusto.es</t>
  </si>
  <si>
    <t>52 1 669 280 0119</t>
  </si>
  <si>
    <t xml:space="preserve"> Curso de Implementación de SAAC en Diferentes Patologías</t>
  </si>
  <si>
    <t>Micaela bozzi</t>
  </si>
  <si>
    <t>mmbozzi77@gmail.com</t>
  </si>
  <si>
    <t>Carolina Brussoni</t>
  </si>
  <si>
    <t>carobrussoni@gmail.com</t>
  </si>
  <si>
    <t>Lucelia Toledo Gómez</t>
  </si>
  <si>
    <t>Mei Chu</t>
  </si>
  <si>
    <t>meirosario0325@gmail.com</t>
  </si>
  <si>
    <t>Paula Esquivel</t>
  </si>
  <si>
    <t>paucesa@gmail.com</t>
  </si>
  <si>
    <t>Osmary Almonte</t>
  </si>
  <si>
    <t>osmary_almontevargas@hotmail.com</t>
  </si>
  <si>
    <t>Camila Mendoza</t>
  </si>
  <si>
    <t>mendozacamila793@gmail.com</t>
  </si>
  <si>
    <t>Máster en Trastornos de la Comunicación: Neurociencia de la Audición y Lenguaje</t>
  </si>
  <si>
    <t>Nina Ahuerma</t>
  </si>
  <si>
    <t>ninasonkoa97@gmail.com</t>
  </si>
  <si>
    <t>34 644 92 77 32</t>
  </si>
  <si>
    <t>Curso Escritura Terapéutica y Narrativa</t>
  </si>
  <si>
    <t>Citlalli</t>
  </si>
  <si>
    <t>citlallijimenez78@gmail.com</t>
  </si>
  <si>
    <t>Beatriz Alonso Jiménez</t>
  </si>
  <si>
    <t>beatriz.alonso.jimenez@gmail.com</t>
  </si>
  <si>
    <t>Diana Gómez Núñez</t>
  </si>
  <si>
    <t>afi1gomezdiana@gmail.com</t>
  </si>
  <si>
    <t>Teresa Martinez</t>
  </si>
  <si>
    <t>psi.teresamp12@gmail.com</t>
  </si>
  <si>
    <t>Raquel Bolaños</t>
  </si>
  <si>
    <t>raquemoreno95@gmail.com</t>
  </si>
  <si>
    <t>cardan.ros4@gmail.com</t>
  </si>
  <si>
    <t>Camila Estrada</t>
  </si>
  <si>
    <t>Estradacamila1850@gmail.com</t>
  </si>
  <si>
    <t>DAMIAN MONTALT GARCÍA</t>
  </si>
  <si>
    <t>dmontaltgarcia@gmail.com</t>
  </si>
  <si>
    <t>Paula Bachiller</t>
  </si>
  <si>
    <t>p.bachiller.galan@gmail.com</t>
  </si>
  <si>
    <t>Flavia Prado Lopes</t>
  </si>
  <si>
    <t>flaviaescriche@gmail.com</t>
  </si>
  <si>
    <t>Paulina</t>
  </si>
  <si>
    <t>56 9 8158 9818</t>
  </si>
  <si>
    <t>Master en Escritura Terapéutica y Narrativa</t>
  </si>
  <si>
    <t>1 (829) 890-3322</t>
  </si>
  <si>
    <t>Kathina Melo</t>
  </si>
  <si>
    <t>507 6121-2970</t>
  </si>
  <si>
    <t>Diplomado en Psicoterapia del Trauma Complejo: Enfoques Integrativo</t>
  </si>
  <si>
    <t>Melu</t>
  </si>
  <si>
    <t>34 641 89 57 35</t>
  </si>
  <si>
    <t>Marina Jiménez Guijarro</t>
  </si>
  <si>
    <t>marijigui@hotmail.com</t>
  </si>
  <si>
    <t>Paulina Wulff</t>
  </si>
  <si>
    <t>pauliwulff@hotmail.com</t>
  </si>
  <si>
    <t>Paul</t>
  </si>
  <si>
    <t>593 99 810 3844</t>
  </si>
  <si>
    <t xml:space="preserve"> Curso de Neurofeedbeack y Biofeedback en la practica clínica </t>
  </si>
  <si>
    <t>Ivanova Pérez</t>
  </si>
  <si>
    <t>clasesprofesoraivanova2@gmail.com</t>
  </si>
  <si>
    <t>Martina Canteros</t>
  </si>
  <si>
    <t>martina.c.psicologa@gmail.com</t>
  </si>
  <si>
    <t>Nayadeth Jimenez Howley</t>
  </si>
  <si>
    <t>1 (809) 615-8592</t>
  </si>
  <si>
    <t>JULIA ZAMORA LLANERA</t>
  </si>
  <si>
    <t>juliazamorallanera@gmail.com</t>
  </si>
  <si>
    <t>Daniela Rivera</t>
  </si>
  <si>
    <t>daniisa22@gmail.com</t>
  </si>
  <si>
    <t>Julia García Pérez</t>
  </si>
  <si>
    <t>juliagarpez@gmail.com</t>
  </si>
  <si>
    <t>Elena Mendieta</t>
  </si>
  <si>
    <t>Melania Hernandez</t>
  </si>
  <si>
    <t>mhernandez@mancomunitat.cat</t>
  </si>
  <si>
    <t>Curso de Liderazgo y Gestión de Equipos</t>
  </si>
  <si>
    <t>Claudia M Còrdova</t>
  </si>
  <si>
    <t>yosoyclaudia1@hotmail.com</t>
  </si>
  <si>
    <t>juncal marquina</t>
  </si>
  <si>
    <t>juncalmarquina@gmail.com</t>
  </si>
  <si>
    <t>Blanca Soler</t>
  </si>
  <si>
    <t>blanca.soler.delgado@gmail.com</t>
  </si>
  <si>
    <t>Paola Alarcón Mandujano</t>
  </si>
  <si>
    <t>paoesther@gmail.com</t>
  </si>
  <si>
    <t>Camila Moreno</t>
  </si>
  <si>
    <t>camilasma22@gmail.com</t>
  </si>
  <si>
    <t>Susana Lobato Moreno</t>
  </si>
  <si>
    <t>susanalog1976@gmail.com</t>
  </si>
  <si>
    <t>Curso en Neuromodulación cerebral</t>
  </si>
  <si>
    <t>Bianca Ruano</t>
  </si>
  <si>
    <t>holabiencaruano@gmail.com</t>
  </si>
  <si>
    <t>Natalia Rossetto</t>
  </si>
  <si>
    <t>nataliarossettovera@gmail.com</t>
  </si>
  <si>
    <t>Patricia Massanet</t>
  </si>
  <si>
    <t>pmassanet11@gmail.com</t>
  </si>
  <si>
    <t>Curso de Estimulación Temprana del Lenguaje</t>
  </si>
  <si>
    <t>Nora Fonseca</t>
  </si>
  <si>
    <t>norafonseca125@gmail.com</t>
  </si>
  <si>
    <t>Diplomado en Terapia Miofuncional y Función Orofacial</t>
  </si>
  <si>
    <t>Altagracia Meza Barahona</t>
  </si>
  <si>
    <t>abarahona927@gmail.com</t>
  </si>
  <si>
    <t>LAURA MORENO</t>
  </si>
  <si>
    <t>lau_tbell@hotmail.com</t>
  </si>
  <si>
    <t>Elena Estrada</t>
  </si>
  <si>
    <t>elnaestrada@gmail.com</t>
  </si>
  <si>
    <t>José Jordany López Gonzalez</t>
  </si>
  <si>
    <t>jordany.lopezg@gmail.com</t>
  </si>
  <si>
    <t>Máster en Neurorehabilitación y Terapias Avanzadas para Trastornos Neurológicos</t>
  </si>
  <si>
    <t>Lucia Antezana</t>
  </si>
  <si>
    <t>luciaantezanam16@gmail.com</t>
  </si>
  <si>
    <t>Milena Navarro</t>
  </si>
  <si>
    <t>valentina91100@hotmail.com</t>
  </si>
  <si>
    <t>Diplomado en rehabilitación vestibular y tratamiento del tinnitus</t>
  </si>
  <si>
    <t>Cristina Míguez González</t>
  </si>
  <si>
    <t>crismiguezgonzalez@gmail.com</t>
  </si>
  <si>
    <t>Idoia Gastón</t>
  </si>
  <si>
    <t>idoiags83@gmail.com</t>
  </si>
  <si>
    <t>Laura MORENO</t>
  </si>
  <si>
    <t>34 646 01 59 84</t>
  </si>
  <si>
    <t xml:space="preserve"> Curso de Acompañamiento Emocional en la Adolescencia</t>
  </si>
  <si>
    <t>Hilda Lozano Vasquez</t>
  </si>
  <si>
    <t>hilda.lozano@upch.pe</t>
  </si>
  <si>
    <t>Ainhoa Gainzarain</t>
  </si>
  <si>
    <t>ainhoa_14@hotmail.com</t>
  </si>
  <si>
    <t>Gisela Salomo</t>
  </si>
  <si>
    <t>gisalomon79@gmail.com</t>
  </si>
  <si>
    <t>Vaitiare cruz</t>
  </si>
  <si>
    <t>saenzcruzalen@gmail.com</t>
  </si>
  <si>
    <t>Josefina Carozzi</t>
  </si>
  <si>
    <t>josefina.carozzi.rba@gmail.com</t>
  </si>
  <si>
    <t>Diplomado en Rehabilitación Vestibular y Tratamiento del Tinnitus</t>
  </si>
  <si>
    <t>Claudia López Vigo</t>
  </si>
  <si>
    <t>Deisy Suárez</t>
  </si>
  <si>
    <t>deisuarezg29@gmail.com</t>
  </si>
  <si>
    <t>Francheska Quinteros</t>
  </si>
  <si>
    <t>fquinterost@gmail.com</t>
  </si>
  <si>
    <t>Mónica Leiva</t>
  </si>
  <si>
    <t>Gabriela Moreno</t>
  </si>
  <si>
    <t>Priscila Ibarz Castro</t>
  </si>
  <si>
    <t>priscilaibarz@gmail.com</t>
  </si>
  <si>
    <t>Arturo Posadas Diaz</t>
  </si>
  <si>
    <t>arturo.posadas@live.com</t>
  </si>
  <si>
    <t>Ana m Garcia Moll</t>
  </si>
  <si>
    <t>agarmoll@gmail.com</t>
  </si>
  <si>
    <t>Máster en Psicología Positiva y Gestión Emocional</t>
  </si>
  <si>
    <t>Mercedes Ortiz Martinez</t>
  </si>
  <si>
    <t>MARISSA FIGUEROA</t>
  </si>
  <si>
    <t>psic.mfigueroa@hotmail.com</t>
  </si>
  <si>
    <t>Marissa Figueroa</t>
  </si>
  <si>
    <t>Nancy Prieto</t>
  </si>
  <si>
    <t>Elisa Leiser</t>
  </si>
  <si>
    <t>elisaleiser@gmail.com</t>
  </si>
  <si>
    <t>Nancy León</t>
  </si>
  <si>
    <t>naeslc0423@gmail.com</t>
  </si>
  <si>
    <t>Maria Carla Zocco Monsalvo</t>
  </si>
  <si>
    <t>carla-zo@hotmail.com</t>
  </si>
  <si>
    <t>gayla iliria villanueva cruz</t>
  </si>
  <si>
    <t>ecomotioncenter@gmail.com</t>
  </si>
  <si>
    <t>Máster en Psicología del Movimiento, Cuerpo y Expresión Emocional</t>
  </si>
  <si>
    <t>Carla Andrea Astudillo</t>
  </si>
  <si>
    <t>María Q</t>
  </si>
  <si>
    <t>mseaq39@gmail.com</t>
  </si>
  <si>
    <t>Evelyn Martínez Sánchez</t>
  </si>
  <si>
    <t>evelynmartinezsanchez@hotmail.com</t>
  </si>
  <si>
    <t>Julia Veiro</t>
  </si>
  <si>
    <t>juliaveju@hotmail.com</t>
  </si>
  <si>
    <t>Claudia Velásquez</t>
  </si>
  <si>
    <t>psicologaclaudia.v.a@gmail.com</t>
  </si>
  <si>
    <t>carolina molina pezantes</t>
  </si>
  <si>
    <t>carolinamolinapesantes@gmail.com</t>
  </si>
  <si>
    <t>SONIA Esteve</t>
  </si>
  <si>
    <t>sestever@hotmail.com</t>
  </si>
  <si>
    <t>Maria cristina Garcia Martinez</t>
  </si>
  <si>
    <t>cgmsoyyo@gmail.com</t>
  </si>
  <si>
    <t>LUZ MERY SANCHEZ</t>
  </si>
  <si>
    <t>luzmerysg11@gmail.com</t>
  </si>
  <si>
    <t>Elisabeth García Alcaraz</t>
  </si>
  <si>
    <t>egarc107@xtec.cat</t>
  </si>
  <si>
    <t>Luciana von Römer</t>
  </si>
  <si>
    <t>luciana.von.roemer@gmail.com</t>
  </si>
  <si>
    <t>Oriana Montiel</t>
  </si>
  <si>
    <t>orianamontiel1230@gmail.com</t>
  </si>
  <si>
    <t>Sierra Jacobs</t>
  </si>
  <si>
    <t>siara.jacobs@gmail.com</t>
  </si>
  <si>
    <t>Luz</t>
  </si>
  <si>
    <t>luzandco@hotmail.c</t>
  </si>
  <si>
    <t>Nayrobis Fermin</t>
  </si>
  <si>
    <t>nayrobisfermin03@gmail.com</t>
  </si>
  <si>
    <t>Máster en Disfagia y Trastornos de la Deglución</t>
  </si>
  <si>
    <t>Brunela</t>
  </si>
  <si>
    <t>54 9 2634 84-6718</t>
  </si>
  <si>
    <t xml:space="preserve"> Curso de Programación y Seguimiento de Implantes Cocleares</t>
  </si>
  <si>
    <t>Marinilla</t>
  </si>
  <si>
    <t>34 696 18 71 32</t>
  </si>
  <si>
    <t>Leonela</t>
  </si>
  <si>
    <t>506 8899 0913</t>
  </si>
  <si>
    <t xml:space="preserve">África </t>
  </si>
  <si>
    <t>39 393 523 4154</t>
  </si>
  <si>
    <t>Master en Danza Terapia y Expresión Corporal</t>
  </si>
  <si>
    <t>Alumine</t>
  </si>
  <si>
    <t>54 9 2944 16-6758</t>
  </si>
  <si>
    <t>Master en Estudios de Consciencia</t>
  </si>
  <si>
    <t xml:space="preserve">Nayrobys </t>
  </si>
  <si>
    <t>1 (849) 876-7798</t>
  </si>
  <si>
    <t>Alejandro Pérez Cueto</t>
  </si>
  <si>
    <t>alejandro.pcueto@gmail.com</t>
  </si>
  <si>
    <t>Valentina cadena</t>
  </si>
  <si>
    <t>valencaco24@gmail.com</t>
  </si>
  <si>
    <t>Lisa</t>
  </si>
  <si>
    <t>595 984 952041</t>
  </si>
  <si>
    <t xml:space="preserve">Curso de Peritaje Psicológico y Elaboración de Informes Forenses </t>
  </si>
  <si>
    <t>Alba García Moreira</t>
  </si>
  <si>
    <t>María Magdalena Pinela Domínguez</t>
  </si>
  <si>
    <t>magdapinela2@gmail.com</t>
  </si>
  <si>
    <t>Maritza Villegas</t>
  </si>
  <si>
    <t>maritzavillegas@gmail.com</t>
  </si>
  <si>
    <t xml:space="preserve">28-4-26 Ana: Para el ultimo contacto, no tiene WhatsApp. Se dejó un correo </t>
  </si>
  <si>
    <t>Aurora Garrido</t>
  </si>
  <si>
    <t>comopezenelagua@gmail.com</t>
  </si>
  <si>
    <t>Recurso</t>
  </si>
  <si>
    <t>Ednita Montoya</t>
  </si>
  <si>
    <t>gelita413@gmail.com</t>
  </si>
  <si>
    <t xml:space="preserve">28-4-26 Ana: No tiene WhatsApp, se dejó un correo. </t>
  </si>
  <si>
    <t>Fernanda Segura</t>
  </si>
  <si>
    <t>fernanda.facilitadora@gmail.com</t>
  </si>
  <si>
    <t>Belen Retamales</t>
  </si>
  <si>
    <t>bretamalesc@gmail.com</t>
  </si>
  <si>
    <t>fra_jorosa@hotmail.com</t>
  </si>
  <si>
    <t>34 651 40 79 37</t>
  </si>
  <si>
    <t>34 654 60 12 43</t>
  </si>
  <si>
    <t>Andrea Serrano</t>
  </si>
  <si>
    <t>andreabrand264@gmail.com</t>
  </si>
  <si>
    <t>Edna Montoya</t>
  </si>
  <si>
    <t>Sofía Flores</t>
  </si>
  <si>
    <t>sofianataliaflores@gmail.com</t>
  </si>
  <si>
    <t>Andrea Carretero</t>
  </si>
  <si>
    <t>deandreacarre@gmail.com</t>
  </si>
  <si>
    <t>Jimena Riquelme Avello</t>
  </si>
  <si>
    <t>ps.jriquelme@gmail.com</t>
  </si>
  <si>
    <t>Fundació Hospital Sant Jaume i Santa Magdalena</t>
  </si>
  <si>
    <t>caltayo@fundaciohospital.org</t>
  </si>
  <si>
    <t>JUAN CARLOS TELLEZ TORRES</t>
  </si>
  <si>
    <t>carlostellez1800@gmail.com</t>
  </si>
  <si>
    <t>Diplomado en Diversidad Sexual, Identidad de Género e Inclusión Clínica</t>
  </si>
  <si>
    <t>Paula Castro</t>
  </si>
  <si>
    <t>liccastropaula@gmail.com</t>
  </si>
  <si>
    <t xml:space="preserve">28-4-26 Ana: Se dejó un correo porque no aparece disponible en WhatsApp. </t>
  </si>
  <si>
    <t>Macarena Gaete</t>
  </si>
  <si>
    <t>gaetecontrerasmacarena@gmail.com</t>
  </si>
  <si>
    <t>Marina Gómez Torregrosa</t>
  </si>
  <si>
    <t>marinagomezt00@gmail.com</t>
  </si>
  <si>
    <t>Jessica Eugenio</t>
  </si>
  <si>
    <t>jessicaeugeniom@gmail.com</t>
  </si>
  <si>
    <t>Ella Rodriguez</t>
  </si>
  <si>
    <t>elsarodriguezalarza@gmail.com</t>
  </si>
  <si>
    <t>Nohemi Curvelo</t>
  </si>
  <si>
    <t>necegle@gmail.com</t>
  </si>
  <si>
    <t>Leticia Martínez Mayor</t>
  </si>
  <si>
    <t>l.martinez.mayor@gmail.com</t>
  </si>
  <si>
    <t>rocio melendez</t>
  </si>
  <si>
    <t>rociomelendezvallejos@gmail.com</t>
  </si>
  <si>
    <t>Vanessa marin</t>
  </si>
  <si>
    <t>vmaring21@gmail.com</t>
  </si>
  <si>
    <t>Juliana Velasco López</t>
  </si>
  <si>
    <t>velascolj@gmail.com</t>
  </si>
  <si>
    <t>Curso de Intervención en Burnout Organizacional</t>
  </si>
  <si>
    <t>57 310 5990788</t>
  </si>
  <si>
    <t>Alexandra Martinez</t>
  </si>
  <si>
    <t>alexamarm2@gmail.com</t>
  </si>
  <si>
    <t>Paola Alarcon</t>
  </si>
  <si>
    <t>Katia Vera</t>
  </si>
  <si>
    <t>katia.vera@usach.cl</t>
  </si>
  <si>
    <t>cynthia olguin</t>
  </si>
  <si>
    <t>Ximena Pintor</t>
  </si>
  <si>
    <t>ximepintor@gmail.com</t>
  </si>
  <si>
    <t>Master en Disfagia y Trastornos de la Deglución</t>
  </si>
  <si>
    <t xml:space="preserve">29-4-26 Ana: Se dejo un correo como segundo contacto porque no aparece disponible en WhatsApp. </t>
  </si>
  <si>
    <t>JOHANNA Ivonne ubiera</t>
  </si>
  <si>
    <t>ujohanna98@yahoo.com</t>
  </si>
  <si>
    <t>Mariángeles Gelosi</t>
  </si>
  <si>
    <t>mariangelesgelosi@gmail.com</t>
  </si>
  <si>
    <t>Paula Sanchez colome</t>
  </si>
  <si>
    <t>paula.s.c@hotmail.com</t>
  </si>
  <si>
    <t>JAIME VERDUZCO</t>
  </si>
  <si>
    <t>irvingmarr@gmail.com</t>
  </si>
  <si>
    <t>Isabel Gil</t>
  </si>
  <si>
    <t>isagil85@gmail.com</t>
  </si>
  <si>
    <t xml:space="preserve">Vivían </t>
  </si>
  <si>
    <t>54 9 2974 29-6687</t>
  </si>
  <si>
    <t>Máster en Tarot Terapéutico y Oráculos</t>
  </si>
  <si>
    <t>57 316 5055231</t>
  </si>
  <si>
    <t xml:space="preserve">Diplomado en Intervención en Trastornos del Sueño Infantil </t>
  </si>
  <si>
    <t>Ángel Martínez Carcelé</t>
  </si>
  <si>
    <r>
      <rPr>
        <u/>
        <sz val="10"/>
        <color rgb="FF1155CC"/>
        <rFont val="Arial"/>
      </rPr>
      <t>angelmc22psicologia@gmail.com</t>
    </r>
  </si>
  <si>
    <t>encarnacion ramirez</t>
  </si>
  <si>
    <t>e_ramirez85@hotmail.com</t>
  </si>
  <si>
    <t>GABRIELA MACIAS ALOR</t>
  </si>
  <si>
    <t>gabyalor@yahoo.com.mx</t>
  </si>
  <si>
    <t>Susana Calleja</t>
  </si>
  <si>
    <t>susanacr90@gmail.com</t>
  </si>
  <si>
    <t>Nele Müller De Quadras</t>
  </si>
  <si>
    <t>nelemd@blanquerna.url.edu</t>
  </si>
  <si>
    <t>Margarita Sureda Ripoll</t>
  </si>
  <si>
    <t>Núria Sierra</t>
  </si>
  <si>
    <t>reserves@elmoliblanc.com</t>
  </si>
  <si>
    <t>Máster en Neurodiversidad, Inclusión y Desarrollo Psicológico Integral</t>
  </si>
  <si>
    <t>Jimena</t>
  </si>
  <si>
    <t>jimeenamr@gmail.com</t>
  </si>
  <si>
    <t>Isidora San Martin</t>
  </si>
  <si>
    <t>isidorasanmartin1012@gmail.com</t>
  </si>
  <si>
    <t>ROCIO Poot kumul</t>
  </si>
  <si>
    <t>rociopootkumul@gmail.com</t>
  </si>
  <si>
    <t>ELENA TENA</t>
  </si>
  <si>
    <t>ELENAYOGAYCONEXIOM@GMAIL.COM</t>
  </si>
  <si>
    <t>carla martinez</t>
  </si>
  <si>
    <t>Mariel Zimmermann</t>
  </si>
  <si>
    <t>marielhazim@hotmail.com</t>
  </si>
  <si>
    <t>Claudia Paredes Samayoa</t>
  </si>
  <si>
    <t>claudia_paredes@hotmail.com</t>
  </si>
  <si>
    <t>Yuliet Lopez leyva</t>
  </si>
  <si>
    <t>Yulietlopezleyva593@gmail.com</t>
  </si>
  <si>
    <t>Master en Implantes Cocleares y Rehabilitacion Auditiva</t>
  </si>
  <si>
    <t>María Camila Angulo Martínez</t>
  </si>
  <si>
    <t>camila11_an@hotmail.com</t>
  </si>
  <si>
    <t>Diplomado en trastornos del procesamiento auditivo central</t>
  </si>
  <si>
    <t>Sara Mera</t>
  </si>
  <si>
    <t>sara_sanabria@hotmail.com</t>
  </si>
  <si>
    <t>Júlia Rodríguez</t>
  </si>
  <si>
    <t>julia_13_2000@yahoo.es</t>
  </si>
  <si>
    <t>viviana Enciso Gimenez</t>
  </si>
  <si>
    <t>viviencisofono@gmail.com</t>
  </si>
  <si>
    <t>Diplomado en Audioprótesis y Rehabilitación Auditiva Integral</t>
  </si>
  <si>
    <t>Nieves Martínez Amorrich</t>
  </si>
  <si>
    <t>martinez.amorrich@gmail.com</t>
  </si>
  <si>
    <t>Dania Canseco</t>
  </si>
  <si>
    <t>dania2410183@uci.edu.mx</t>
  </si>
  <si>
    <t>Diplomado en Análisis Forense y Perfilado del Lenguaje</t>
  </si>
  <si>
    <t>Doraliza Corcino</t>
  </si>
  <si>
    <t>audieudi@hotmail.com</t>
  </si>
  <si>
    <t>Milagros Garbiero</t>
  </si>
  <si>
    <t>lic.garbieromilagros@gmail.com</t>
  </si>
  <si>
    <t>Noemi Jiménez Martín</t>
  </si>
  <si>
    <t>jimenezmartinnoemi93@gmail.com</t>
  </si>
  <si>
    <t>Ana Climent</t>
  </si>
  <si>
    <t>María Fernannda</t>
  </si>
  <si>
    <t>fertdecode@gmail.com</t>
  </si>
  <si>
    <t>Dagiadi Wagner</t>
  </si>
  <si>
    <t>wagnerdagia@gmail.com</t>
  </si>
  <si>
    <t>30-4-26 Ana: Se dejó un correo porque no aparece disponible en WhatsApp</t>
  </si>
  <si>
    <t>Rosa Barrera</t>
  </si>
  <si>
    <t>rosabarreracasanova@gmail.com</t>
  </si>
  <si>
    <t>Valentina. Cadena</t>
  </si>
  <si>
    <t>María Paz Loaiza</t>
  </si>
  <si>
    <t>mariapaz.loaiza@sanmateo.cl</t>
  </si>
  <si>
    <t>Luisa Nava</t>
  </si>
  <si>
    <t>luisanava7@gmail.com</t>
  </si>
  <si>
    <t>Latsch</t>
  </si>
  <si>
    <t>alatsch@hotmail.com</t>
  </si>
  <si>
    <t>ANA MARÍA OYARCE MUÑOZ</t>
  </si>
  <si>
    <t>miss.cotita@gmail.com</t>
  </si>
  <si>
    <t>Karina López Quintero</t>
  </si>
  <si>
    <t>psickarinalopezq@gmail.com</t>
  </si>
  <si>
    <t>Débora Ferrer</t>
  </si>
  <si>
    <t>debo_ferrer@hotmail.com</t>
  </si>
  <si>
    <t>Ornela Biscardi</t>
  </si>
  <si>
    <t>ornelabiscardi@hotmail.com</t>
  </si>
  <si>
    <t>Jonelly Herron</t>
  </si>
  <si>
    <t>jonelly.herron@hotmail.com</t>
  </si>
  <si>
    <t>María Banús Cobo</t>
  </si>
  <si>
    <t>mariaabanus.95@hotmail.com</t>
  </si>
  <si>
    <t>Laura Fuentes Mayoral</t>
  </si>
  <si>
    <t>Beatriz Lucila Villar</t>
  </si>
  <si>
    <t>beazara76@gmail.com</t>
  </si>
  <si>
    <t>Master en Diagnostico y Tratamiento del Trastorno del Procesamiento Auditivo Central TPAC</t>
  </si>
  <si>
    <t>Diplomado en Trastornos del Procesamiento Auditivo Central (TPAC)</t>
  </si>
  <si>
    <t>Curso de Estrategias de Intervencion en TPAC</t>
  </si>
  <si>
    <t>Maria Julia Valle</t>
  </si>
  <si>
    <t>julia.psi.valle@gmail.com</t>
  </si>
  <si>
    <t>ARANTZA PERALTA LAVIN</t>
  </si>
  <si>
    <t>lavinari94@gmail.com</t>
  </si>
  <si>
    <t>Diplomado en Intervención Psicosocial en Situaciones de Emergencia</t>
  </si>
  <si>
    <t>César Bautista</t>
  </si>
  <si>
    <t>neurops.co@gmail.com</t>
  </si>
  <si>
    <t>Cristian Martín</t>
  </si>
  <si>
    <t>hdjalakaofb@gmail.com</t>
  </si>
  <si>
    <t>Magali Robilliard</t>
  </si>
  <si>
    <t>magali.robilliard@gmail.com</t>
  </si>
  <si>
    <t>Sonia Domingo Fitz</t>
  </si>
  <si>
    <t>so-dofi@hotmail.com</t>
  </si>
  <si>
    <t>Silvia Roldan</t>
  </si>
  <si>
    <t>silviaroldanr@yahoo.com</t>
  </si>
  <si>
    <t>Nicolle Romero</t>
  </si>
  <si>
    <t>nicolleromero1930@gmail.com</t>
  </si>
  <si>
    <t>yussy muñoz garrido</t>
  </si>
  <si>
    <t>yussy.mg@gmail.com</t>
  </si>
  <si>
    <t>Jessica Delgado</t>
  </si>
  <si>
    <t>jessica.delgado@openline.nl</t>
  </si>
  <si>
    <t>ana leo</t>
  </si>
  <si>
    <t>anitaleco@hotmail.com</t>
  </si>
  <si>
    <t>Amaya Rodríguez vazquez</t>
  </si>
  <si>
    <t>amayarodriguezvazquez.84@gmail.com</t>
  </si>
  <si>
    <t>Pilar Marín Ortega</t>
  </si>
  <si>
    <t>empleo@aspandem.org</t>
  </si>
  <si>
    <t>Dilubina Garces Villanueva</t>
  </si>
  <si>
    <t>dilubinagarcesvillanueva@gmail.com</t>
  </si>
  <si>
    <t>Adrián Da Silva Villanueva</t>
  </si>
  <si>
    <t>adrian.ds.villanueva@gmail.com</t>
  </si>
  <si>
    <t>Carolina Forcada</t>
  </si>
  <si>
    <t>ternerapilar88@gmail.com</t>
  </si>
  <si>
    <t>Yojanha Galindo</t>
  </si>
  <si>
    <t>yoagalindo@gmail.com</t>
  </si>
  <si>
    <t>Oscar Fiz</t>
  </si>
  <si>
    <t>oscarfizfernandez4474@gmail.com</t>
  </si>
  <si>
    <t>Abel Diego Fernández Peláez</t>
  </si>
  <si>
    <t>info@abelpsicologiaoviedo.es</t>
  </si>
  <si>
    <t>Paula Robidu</t>
  </si>
  <si>
    <t>paularobidu@gmail.com</t>
  </si>
  <si>
    <t>Juan jose navarro del pino</t>
  </si>
  <si>
    <t>serveispsicologicsslp@gmail.com</t>
  </si>
  <si>
    <t>Ismari 3</t>
  </si>
  <si>
    <t>ismarihellerrizo@gmail.com</t>
  </si>
  <si>
    <t xml:space="preserve">5-5-26 Ana: Se dejó un correo porque el numero no aparece disponible en WhatsApp. </t>
  </si>
  <si>
    <t>Iker Fernandez</t>
  </si>
  <si>
    <t>Claudia Raquel Tabares</t>
  </si>
  <si>
    <t>claudiaraquel.tabares@gmail.com</t>
  </si>
  <si>
    <t>Inés Ruiz Pérez</t>
  </si>
  <si>
    <t>inesruizperez@hotmail.com</t>
  </si>
  <si>
    <t>LUCIANA GAGEY</t>
  </si>
  <si>
    <t>orientacionlucianagagey@gmail.com</t>
  </si>
  <si>
    <t>Isabel caicedo</t>
  </si>
  <si>
    <t>isabelcrearbienestar@gmail.com</t>
  </si>
  <si>
    <t>Tomanguillo</t>
  </si>
  <si>
    <t>leslietomanguillo@gmail.com</t>
  </si>
  <si>
    <t>Christie Nicola</t>
  </si>
  <si>
    <t>neuropsi.christie.nicola@gmail.com</t>
  </si>
  <si>
    <t>SHEILA MARÍA PADELLARO BATISTA</t>
  </si>
  <si>
    <t>sheilap.psicologia@gmail.com</t>
  </si>
  <si>
    <t>Ana Fleitas</t>
  </si>
  <si>
    <t>jpablocarrion@gmail.com</t>
  </si>
  <si>
    <t>DILENIA CONTRERAS</t>
  </si>
  <si>
    <t>dileniacontreras0523@hotmail.com</t>
  </si>
  <si>
    <t>María valcarcel</t>
  </si>
  <si>
    <t>mariavalcarcel88@hotmail.com</t>
  </si>
  <si>
    <t>Carlota Viguer de Amador</t>
  </si>
  <si>
    <t>carlotaviguerpsico@gmail.com</t>
  </si>
  <si>
    <t>lauramisma@gmail.com</t>
  </si>
  <si>
    <t>Jennifer</t>
  </si>
  <si>
    <t>illustrationjmv@gmail.com</t>
  </si>
  <si>
    <t>Rafael Santana</t>
  </si>
  <si>
    <t>frayrafaelsantana@gmail.com</t>
  </si>
  <si>
    <t>María Martínez García</t>
  </si>
  <si>
    <t>mariapsicologamg.97@gmail.com</t>
  </si>
  <si>
    <t>Katherine Castillo</t>
  </si>
  <si>
    <t>Katherinecastillopsicologia@gmail.com</t>
  </si>
  <si>
    <t>Micaela Neira</t>
  </si>
  <si>
    <t>neira.p.micaela@gmail.com</t>
  </si>
  <si>
    <t xml:space="preserve">6-5-26 Ana: Se dejó un correo como tercer contacto. No aparece disponible en WhatsApp. </t>
  </si>
  <si>
    <t>Mariana Molina</t>
  </si>
  <si>
    <t>mmolina.rodino@gmail.com</t>
  </si>
  <si>
    <t>Diplomado en Tratamiento Multimodal: Psicofármacos y Terapias de Tercera Generación</t>
  </si>
  <si>
    <t>Inma Vega</t>
  </si>
  <si>
    <t>vega.inmaculada@gmail.com</t>
  </si>
  <si>
    <t>Carla Martín</t>
  </si>
  <si>
    <t>lacarlamartin@gmail.com</t>
  </si>
  <si>
    <t>Máster en Arteterapia y Psicología Clínica</t>
  </si>
  <si>
    <t>Paula Merette</t>
  </si>
  <si>
    <t>paulamerette@gmail.com</t>
  </si>
  <si>
    <t>Azucena Patiño</t>
  </si>
  <si>
    <t>Carmen ritoré</t>
  </si>
  <si>
    <t>carritspi@gmail.com</t>
  </si>
  <si>
    <t>Fernanda Eugenia Medina Navarrete</t>
  </si>
  <si>
    <t>Sara Rodriguez</t>
  </si>
  <si>
    <t>sara.rodriguezarroyo@gmail.com</t>
  </si>
  <si>
    <t>Patricia</t>
  </si>
  <si>
    <t>paelorz@gmail.com</t>
  </si>
  <si>
    <t>Silvia Gil Delgado</t>
  </si>
  <si>
    <t>silviagildelgado98@gmail.com</t>
  </si>
  <si>
    <t>rakel castillo</t>
  </si>
  <si>
    <t>rakelcastillo22@hotmail.com</t>
  </si>
  <si>
    <t>Ines Omar</t>
  </si>
  <si>
    <t>inesglezomar@gmail.com</t>
  </si>
  <si>
    <t>Curso de Intervención Específica en TEA</t>
  </si>
  <si>
    <t>Diana Barrera</t>
  </si>
  <si>
    <t>diani2230@hotmail.com</t>
  </si>
  <si>
    <t>Marcela Barraza Aragón</t>
  </si>
  <si>
    <t>15466884.barraza@ms.uas.edu.mx</t>
  </si>
  <si>
    <t>Carolina Roca</t>
  </si>
  <si>
    <t>roca.duran.carolina@gmail.com</t>
  </si>
  <si>
    <t>Claudia Hernández</t>
  </si>
  <si>
    <t>Joaquin Juan</t>
  </si>
  <si>
    <t>joaquinjuan002@gmail.com</t>
  </si>
  <si>
    <t>Melani Ocampos</t>
  </si>
  <si>
    <t>melaniiocampos@gmail.com</t>
  </si>
  <si>
    <t>Master en Voz Profesional y Foniatría</t>
  </si>
  <si>
    <t>Vianey Benitez Corona</t>
  </si>
  <si>
    <t>vianey.benitez@michelin.com</t>
  </si>
  <si>
    <t>Dolores CORDOBA GARCIA</t>
  </si>
  <si>
    <t>lola.cordobagarcia@gmail.com</t>
  </si>
  <si>
    <t>Victoria Huelin Izquierdo</t>
  </si>
  <si>
    <t>victoriahuelin@gmail.com</t>
  </si>
  <si>
    <t>Alexandru Dabnil Ion</t>
  </si>
  <si>
    <t>alexandrudabnilion@gmail.com</t>
  </si>
  <si>
    <t>Sandra Carmona Amaro</t>
  </si>
  <si>
    <t>gueretacarmona@gmail.com</t>
  </si>
  <si>
    <t>Ainhoa Ruiz</t>
  </si>
  <si>
    <t>noatxuruiz@gmail.com</t>
  </si>
  <si>
    <t>Rosse Cruz</t>
  </si>
  <si>
    <t>rossecruz00@gmail.com</t>
  </si>
  <si>
    <t>Lidia Fernández Cañete</t>
  </si>
  <si>
    <t>lidiafndz@gmail.com</t>
  </si>
  <si>
    <t>Alejandra Robles</t>
  </si>
  <si>
    <t>MONICA BUENO ESTRADA</t>
  </si>
  <si>
    <t>monicabueno6666@gmail.com</t>
  </si>
  <si>
    <t>Lucia Febrero Abato</t>
  </si>
  <si>
    <t>luciafebreroabato@gmail.con</t>
  </si>
  <si>
    <t>Máster en Psicología Expresiva, Arte y Transformación Interior</t>
  </si>
  <si>
    <t>Gloria Romero</t>
  </si>
  <si>
    <t>glorilu62@gmail.com</t>
  </si>
  <si>
    <t>Eladio Juan Gil Piñero</t>
  </si>
  <si>
    <t>eladiog1962@gmail.com</t>
  </si>
  <si>
    <t>Curso de Recuperación tras Rupturas y Pérdidas Relacionales</t>
  </si>
  <si>
    <t>Ana Bernal Gambín</t>
  </si>
  <si>
    <t>anabergam98@gmail.com</t>
  </si>
  <si>
    <t>Máster en Terapia Miofuncional</t>
  </si>
  <si>
    <t>Emanuelle Burghardt</t>
  </si>
  <si>
    <t>ema.gauer@gmail.com</t>
  </si>
  <si>
    <t>Angelhi Liza</t>
  </si>
  <si>
    <t>lizaangelhi@gmail.com</t>
  </si>
  <si>
    <t>laratroca76@gmail.com</t>
  </si>
  <si>
    <t>Nesa</t>
  </si>
  <si>
    <t>Master en Estudios de consciencia</t>
  </si>
  <si>
    <t>54 9 3816 85-4652</t>
  </si>
  <si>
    <t>Naylss</t>
  </si>
  <si>
    <t>595 985 298503</t>
  </si>
  <si>
    <t>34 639 00 05 50</t>
  </si>
  <si>
    <t>972 53-303-6996</t>
  </si>
  <si>
    <t>Giselle Aponte</t>
  </si>
  <si>
    <t>gisaponte@gmail.com</t>
  </si>
  <si>
    <t>Gustavo</t>
  </si>
  <si>
    <t>57 323 3049742</t>
  </si>
  <si>
    <t>Delia Cobos</t>
  </si>
  <si>
    <t>delia.cobos88@gmail.com</t>
  </si>
  <si>
    <t>Sofía Balbuena</t>
  </si>
  <si>
    <t>sofiavikka@gmail.com</t>
  </si>
  <si>
    <t>Dangeli Plate</t>
  </si>
  <si>
    <t>dangeli.plate@gmail.com</t>
  </si>
  <si>
    <t>Isabel Romero</t>
  </si>
  <si>
    <t>isabelromero.ts@hotmail.com</t>
  </si>
  <si>
    <t>Nuria</t>
  </si>
  <si>
    <t>34 686 68 66 20</t>
  </si>
  <si>
    <t>Mony</t>
  </si>
  <si>
    <t>56 9 7775 2644</t>
  </si>
  <si>
    <t xml:space="preserve"> Curso de Estimulación Temprana del Lenguaje</t>
  </si>
  <si>
    <t>Milton</t>
  </si>
  <si>
    <t>(829) 785-2388</t>
  </si>
  <si>
    <t>1 (809) 258-1120</t>
  </si>
  <si>
    <t>52 1 722 390 0375</t>
  </si>
  <si>
    <t>Máster en Rehabilitación Cognitivo-Lingüística en Geriatría</t>
  </si>
  <si>
    <t>505 8455 7175</t>
  </si>
  <si>
    <t>Esmeralda Arencón Garrote</t>
  </si>
  <si>
    <t>earegar20@hotmail.com</t>
  </si>
  <si>
    <t>Yanira Marrero</t>
  </si>
  <si>
    <t>yplogopedia@asociacioncivitas.es</t>
  </si>
  <si>
    <t>34 722 58 22 06</t>
  </si>
  <si>
    <t>1 (849) 393-6899</t>
  </si>
  <si>
    <t xml:space="preserve">Curso psicología forense para violencia de género </t>
  </si>
  <si>
    <t>No sabe de la solicitud</t>
  </si>
  <si>
    <t>54 9 11 3564-8790</t>
  </si>
  <si>
    <t>Aida Fernández</t>
  </si>
  <si>
    <t>Maribel Rodríguez</t>
  </si>
  <si>
    <t>Maribel.rod.rocha@gmail.com</t>
  </si>
  <si>
    <t>sonia.fdez.nog@gmail.com</t>
  </si>
  <si>
    <t>Núria Cucurull Cortés</t>
  </si>
  <si>
    <t>irun84@gmail.com</t>
  </si>
  <si>
    <t>34 604 87 30 22</t>
  </si>
  <si>
    <t>1 (849) 459-8633</t>
  </si>
  <si>
    <t>57 315 7571746</t>
  </si>
  <si>
    <t>Elizabeth</t>
  </si>
  <si>
    <t>56 9 8200 7938</t>
  </si>
  <si>
    <t>James</t>
  </si>
  <si>
    <t>57 314 5384792</t>
  </si>
  <si>
    <t>52 1 614 141 6685</t>
  </si>
  <si>
    <t>Erik</t>
  </si>
  <si>
    <t>56 9 5454 6844</t>
  </si>
  <si>
    <t>34 673 28 44 90</t>
  </si>
  <si>
    <t>Máster en Técnica Alexander Aplicada al Rendimiento y la Expresión Corporal</t>
  </si>
  <si>
    <t>Keila</t>
  </si>
  <si>
    <t>1 (849) 488-6381</t>
  </si>
  <si>
    <t>Diplomado en Neurociencia Aplicada al Trauma y la Plasticidad Cerebra</t>
  </si>
  <si>
    <t xml:space="preserve">Sofía </t>
  </si>
  <si>
    <t>52 1 477 139 0716</t>
  </si>
  <si>
    <t>1 (829) 899-1414</t>
  </si>
  <si>
    <t xml:space="preserve"> Curso Terapias de 3ª Generación</t>
  </si>
  <si>
    <t>1 (829) 436-9455</t>
  </si>
  <si>
    <t>1 (849) 385-9899</t>
  </si>
  <si>
    <t>56 9 2627 2269</t>
  </si>
  <si>
    <t>Paola Palacios</t>
  </si>
  <si>
    <t>psico.palacios@gmail.com</t>
  </si>
  <si>
    <t>52 1 55 3724 0576</t>
  </si>
  <si>
    <t>Javiera camerati</t>
  </si>
  <si>
    <t>52 1 81 1628 0056</t>
  </si>
  <si>
    <t>Mónica García Canga</t>
  </si>
  <si>
    <t>monicacanga@yahoo.es</t>
  </si>
  <si>
    <t>Jeannielys Fernández Quiles</t>
  </si>
  <si>
    <t>jeannielys42@gmail.com</t>
  </si>
  <si>
    <t>Curso de Evaluación Psicológica Forense en Procesos de Custodia</t>
  </si>
  <si>
    <t>Verónica Catalina Concha</t>
  </si>
  <si>
    <t>ve.concha@gmail.com</t>
  </si>
  <si>
    <t>María Ignacia</t>
  </si>
  <si>
    <t>ignaciadelafuente333@gmail.com</t>
  </si>
  <si>
    <t>56 9 7328 4840</t>
  </si>
  <si>
    <t>57 323 2479929</t>
  </si>
  <si>
    <t>Sanya</t>
  </si>
  <si>
    <t>1 (849) 464-1519</t>
  </si>
  <si>
    <t>57 323 4280774</t>
  </si>
  <si>
    <t>Joannielys</t>
  </si>
  <si>
    <t>1 (787) 539-2199</t>
  </si>
  <si>
    <t xml:space="preserve">Curso de Evaluación Psicológica Forense en Procesos de Custodia </t>
  </si>
  <si>
    <t xml:space="preserve">Verónica </t>
  </si>
  <si>
    <t>56 9 8752 3031</t>
  </si>
  <si>
    <t>56 9 9543 3532</t>
  </si>
  <si>
    <t>Yineida Fernández Alvarez</t>
  </si>
  <si>
    <t>Mircala Suárez</t>
  </si>
  <si>
    <t>mircala.suarez@gmail.com</t>
  </si>
  <si>
    <t>Maritza Sancho</t>
  </si>
  <si>
    <t>maritzasanchop@hotmail.com</t>
  </si>
  <si>
    <t>mario barcenilla diez</t>
  </si>
  <si>
    <t>Julieta De Castilla</t>
  </si>
  <si>
    <t>psicjulietadcv@gmail.com</t>
  </si>
  <si>
    <t>Estrella Álvarez lorenzo</t>
  </si>
  <si>
    <t>estrellahealthcoach@gmail.com</t>
  </si>
  <si>
    <t>Sandra Mireles</t>
  </si>
  <si>
    <t>sandrami.wo@gmail.com</t>
  </si>
  <si>
    <t>Curso de Danzaterapia infantil y desarrollo socioemocional</t>
  </si>
  <si>
    <t>1 (829) 963-2626</t>
  </si>
  <si>
    <t>52 1 55 5453 2739</t>
  </si>
  <si>
    <t>52 1 55 4364 0099</t>
  </si>
  <si>
    <t>52 1 442 453 7272</t>
  </si>
  <si>
    <t>Norelia</t>
  </si>
  <si>
    <t>52 1 624 177 8163</t>
  </si>
  <si>
    <t>52 1 669 250 8083</t>
  </si>
  <si>
    <t>Xènia Vallès</t>
  </si>
  <si>
    <t>xenia_valles@hotmail.com</t>
  </si>
  <si>
    <t>Arlenis De Oleo</t>
  </si>
  <si>
    <t>arlenis.deoleo@gmail.com</t>
  </si>
  <si>
    <t>Miriam Nava Andrade</t>
  </si>
  <si>
    <t>miriamnava903@gmail.com</t>
  </si>
  <si>
    <t>Curso de ansiedad y depresión infantil</t>
  </si>
  <si>
    <t>Carmina mata</t>
  </si>
  <si>
    <t>cachismata@gmail.com</t>
  </si>
  <si>
    <t>Paula Anchustegui</t>
  </si>
  <si>
    <t>panchustegui2002@gmail.com</t>
  </si>
  <si>
    <t>Katherine Montenegro Gil</t>
  </si>
  <si>
    <t>katherinemontenegrogil.1@gmail.com</t>
  </si>
  <si>
    <t>Marianela Ferrero</t>
  </si>
  <si>
    <t>lic.marianelaferrero@gmail.com</t>
  </si>
  <si>
    <t>Master en Rehabilitación Vestibular y Tinnitus</t>
  </si>
  <si>
    <t>57 324 4618259</t>
  </si>
  <si>
    <t>34 613 63 37 38</t>
  </si>
  <si>
    <t>Máster en Psiconeuroinmunoendocrinología Integrativa (PNIE</t>
  </si>
  <si>
    <t>51 999 252 769</t>
  </si>
  <si>
    <t>2 1 55 1828 3616</t>
  </si>
  <si>
    <t>34 633 97 38 87</t>
  </si>
  <si>
    <t>Ana Lúcia Coimbra</t>
  </si>
  <si>
    <t>5 61 8144-5965</t>
  </si>
  <si>
    <t>Lidia Ferez Diaz</t>
  </si>
  <si>
    <t>lidiaf1294@hotmail.com</t>
  </si>
  <si>
    <t>Leidy Johana Perez</t>
  </si>
  <si>
    <t>leidy_8930@outlook.com</t>
  </si>
  <si>
    <t>Laia Rodríguez Martínez</t>
  </si>
  <si>
    <t>laia.rodmar@gmail.com</t>
  </si>
  <si>
    <t>Yolanda Barros Fernandez</t>
  </si>
  <si>
    <t>yolybarros16@hotmail.com</t>
  </si>
  <si>
    <t>JUANA MARY</t>
  </si>
  <si>
    <t>JMARY1107@GMAIL.COM</t>
  </si>
  <si>
    <t>Montserrat Olachea</t>
  </si>
  <si>
    <t>psicolachea@gmail.com</t>
  </si>
  <si>
    <t>Beatriz González Zubiaurre</t>
  </si>
  <si>
    <t>gzubipsicologia@gmail.com</t>
  </si>
  <si>
    <t>Daniela Palacios</t>
  </si>
  <si>
    <t>Ariadna Hernandez</t>
  </si>
  <si>
    <t>clmesqueparaules@gmail.com</t>
  </si>
  <si>
    <t>Máster en Psicología del Amor, Apego y Relaciones Conscientes</t>
  </si>
  <si>
    <t>Maria Jose Perez</t>
  </si>
  <si>
    <t>mariajosepr716@gmail.com</t>
  </si>
  <si>
    <t>Maialen Conde</t>
  </si>
  <si>
    <t>conde.maialen1@gmail.com</t>
  </si>
  <si>
    <t>Jahira Zorrilla</t>
  </si>
  <si>
    <t>jahirazorrilla26@gmail.com</t>
  </si>
  <si>
    <t>Ynocelis Liset cuevas Trinidad</t>
  </si>
  <si>
    <t>aramdilancuvesp@gmail.com</t>
  </si>
  <si>
    <t>Paula González</t>
  </si>
  <si>
    <t>Sofía Nidia Olguin del Ángel</t>
  </si>
  <si>
    <t>sofiaodelangel@gmail.com</t>
  </si>
  <si>
    <t>Diplomado en afasias y trastornos asociados</t>
  </si>
  <si>
    <t>MARGARITA ELOISA MUÑOZ BULLON</t>
  </si>
  <si>
    <t>mmunozbullon@gmail.com</t>
  </si>
  <si>
    <t>Fernanda Morey</t>
  </si>
  <si>
    <t>fernndamorey@gmail.com</t>
  </si>
  <si>
    <t>Adrián Maylin Vigil</t>
  </si>
  <si>
    <t>may_cdv@hotmail.com</t>
  </si>
  <si>
    <t>Floria Gonzalez</t>
  </si>
  <si>
    <t>flogrod@gmail.com</t>
  </si>
  <si>
    <t>Máster en disléxica</t>
  </si>
  <si>
    <t>Sergio Escalera Hermosa</t>
  </si>
  <si>
    <t>sergioescaler@gmail.com</t>
  </si>
  <si>
    <t>Grupo Northius</t>
  </si>
  <si>
    <t>34 605 28 23 54</t>
  </si>
  <si>
    <t xml:space="preserve">Diplomado en Micronutrición y Terapias Ortomóleculares </t>
  </si>
  <si>
    <t>52 1 55 2505 3501</t>
  </si>
  <si>
    <t>Curso de Desapego y Liberación Emociona</t>
  </si>
  <si>
    <t>Maria Isabel Lopez</t>
  </si>
  <si>
    <t>isabelita_ln@hotmail.com</t>
  </si>
  <si>
    <t>Francisco Morillo</t>
  </si>
  <si>
    <t>franmorillo.psicologo@gmail.com</t>
  </si>
  <si>
    <t>Intervención Centrada en la Familia en Atención Temprana</t>
  </si>
  <si>
    <t>Julio</t>
  </si>
  <si>
    <t>1 (849) 638-1013</t>
  </si>
  <si>
    <t>1 (829) 869-9700</t>
  </si>
  <si>
    <t>Ayda Romero Toribio</t>
  </si>
  <si>
    <t>aluzromero16@gmail.com</t>
  </si>
  <si>
    <t>Diplomado en audioprótesis y rehabilitación auditiva integral</t>
  </si>
  <si>
    <t>Sonia Cáceres</t>
  </si>
  <si>
    <t>soniacaceres.i@gmail.com</t>
  </si>
  <si>
    <t>Diana Paulina García Martínez</t>
  </si>
  <si>
    <t>DAISY MORALES</t>
  </si>
  <si>
    <t>daisy04223@gmail.com</t>
  </si>
  <si>
    <t>Noemi Cabrera</t>
  </si>
  <si>
    <t>cabreranoemi597@gmail.com</t>
  </si>
  <si>
    <t>Jesus Ivan Reyes Hernández</t>
  </si>
  <si>
    <t>jr809253@gmail.com</t>
  </si>
  <si>
    <t>Sarah Madrigal</t>
  </si>
  <si>
    <t>sarah.mh.psicologia@gmail.com</t>
  </si>
  <si>
    <t>Camila Pineda</t>
  </si>
  <si>
    <t>camilapin25@gmail.com</t>
  </si>
  <si>
    <t>Ursula Moreno</t>
  </si>
  <si>
    <t>umoreno.m@gmail.com</t>
  </si>
  <si>
    <t>Katiuska Abreu</t>
  </si>
  <si>
    <t>katiuskan.abreu.soto@gmail.com</t>
  </si>
  <si>
    <t>Emily Martínez Blackburn</t>
  </si>
  <si>
    <t>emilyblackburn38@gmail.com</t>
  </si>
  <si>
    <t>Inés Bardi Riera</t>
  </si>
  <si>
    <t>inesbardiriera12@gmail.com</t>
  </si>
  <si>
    <t>Matias Ignacio Hauva Arcos</t>
  </si>
  <si>
    <t>ps.matiashauva@gmail.com</t>
  </si>
  <si>
    <t>57 311 8345441</t>
  </si>
  <si>
    <t>52 1 777 258 7779</t>
  </si>
  <si>
    <t>51 986 655 277</t>
  </si>
  <si>
    <t xml:space="preserve">Máster en Psicología del Movimiento, Cuerpo y Expresión Emocional </t>
  </si>
  <si>
    <t>Laura Guisande</t>
  </si>
  <si>
    <t>l.guisande@zendal.com</t>
  </si>
  <si>
    <t>52 1 55 1006 6132</t>
  </si>
  <si>
    <t xml:space="preserve">Curso de Escritura Terapéutica y Narrativa </t>
  </si>
  <si>
    <t>Joanie Morales Santiago</t>
  </si>
  <si>
    <t>Diplomado de Manejo Psicologico de Dolor Crónico y Adherencia al Tratamiento</t>
  </si>
  <si>
    <t>52 1 993 446 6198</t>
  </si>
  <si>
    <t>51 961 176 071</t>
  </si>
  <si>
    <t xml:space="preserve">Máster en Psicotraumatología, Estrés Complejo y Violencia Relacional </t>
  </si>
  <si>
    <t>Débora Martínez Cano</t>
  </si>
  <si>
    <t>debora89martinez@gmail.com</t>
  </si>
  <si>
    <t>Ainhoa Mauleón</t>
  </si>
  <si>
    <t>Diplomado en intervención clínica</t>
  </si>
  <si>
    <t>Angelica Perez Perez</t>
  </si>
  <si>
    <t>57 301 6208174</t>
  </si>
  <si>
    <t>Emily</t>
  </si>
  <si>
    <t>34 616 15 61 11</t>
  </si>
  <si>
    <t>JayZ</t>
  </si>
  <si>
    <t>57 310 6350715</t>
  </si>
  <si>
    <t>Marta Tor</t>
  </si>
  <si>
    <t>xarukol@gmail.com</t>
  </si>
  <si>
    <t>Karla Daniela Marín Andrade</t>
  </si>
  <si>
    <t>karla.geronto@gmail.com</t>
  </si>
  <si>
    <t>Máster en rehabilitación cognitivo-lingüística en geriatría</t>
  </si>
  <si>
    <t>fernandamorey@gmail.com</t>
  </si>
  <si>
    <t>51 956 912 160</t>
  </si>
  <si>
    <t>Zirbo Cristina</t>
  </si>
  <si>
    <t>zirbocristina@yahoo.com</t>
  </si>
  <si>
    <t>Elena León</t>
  </si>
  <si>
    <t>elenaleonbalandin@gmail.com</t>
  </si>
  <si>
    <t>Maria Luisa Serizier</t>
  </si>
  <si>
    <t>serizier@gmail.com</t>
  </si>
  <si>
    <t>Curso de Reeducación Gráfica</t>
  </si>
  <si>
    <t>Nina Sonko Tania Ahuerma Girón</t>
  </si>
  <si>
    <t>Curso sobre el tratamiento del estrés postraumático TEP</t>
  </si>
  <si>
    <t>MONICA URQUIJO</t>
  </si>
  <si>
    <t>monis-ka@hotmail.com</t>
  </si>
  <si>
    <t>Máster en Coaching Emocional y Bienestar Integral</t>
  </si>
  <si>
    <t>Sandra Sebastián Iglesias</t>
  </si>
  <si>
    <t>sandra.logopedia@hotmail.com</t>
  </si>
  <si>
    <t>Curso de Terapia Miofuncional Aplicada a la Deglución</t>
  </si>
  <si>
    <t>Perla Álvarez Gómez</t>
  </si>
  <si>
    <t>p.alvarezgomez11@gmail.com</t>
  </si>
  <si>
    <t>Juan Fernando Castillo Moreno</t>
  </si>
  <si>
    <t>juanfekas@hotmail.com</t>
  </si>
  <si>
    <t>Carina Smith Mora</t>
  </si>
  <si>
    <t>57 323 3943075</t>
  </si>
  <si>
    <t>Liliana Reyes</t>
  </si>
  <si>
    <t>57 311 2856848</t>
  </si>
  <si>
    <t xml:space="preserve">Curso de Neurofeedback y Biofeedback en la Práctica Clínica </t>
  </si>
  <si>
    <t xml:space="preserve">Laura Muñoz García </t>
  </si>
  <si>
    <t>52 1 33 1335 8379</t>
  </si>
  <si>
    <t>Máster en Psicología Aplicada al Trabajo, Organizaciones y Talento Humano</t>
  </si>
  <si>
    <t>57 318 5820717</t>
  </si>
  <si>
    <t>Magnolia</t>
  </si>
  <si>
    <t>51 993 036 925</t>
  </si>
  <si>
    <t>Fady</t>
  </si>
  <si>
    <t>52 1 663 230 9964</t>
  </si>
  <si>
    <t>51 972 657 972</t>
  </si>
  <si>
    <t>56 9 4237 3533</t>
  </si>
  <si>
    <t xml:space="preserve"> Curso de Neurofeedback y Biofeedback en la Práctica Clínica</t>
  </si>
  <si>
    <t>Alejandra</t>
  </si>
  <si>
    <t>1 (689) 680-4591</t>
  </si>
  <si>
    <t>Joss</t>
  </si>
  <si>
    <t>593 98 184 4550</t>
  </si>
  <si>
    <t>Yineth Zambrano</t>
  </si>
  <si>
    <t>57 310 2142989</t>
  </si>
  <si>
    <t>Kat</t>
  </si>
  <si>
    <t>51 904 044 401</t>
  </si>
  <si>
    <t xml:space="preserve">Bernarda Hernández </t>
  </si>
  <si>
    <t>57 300 8588820</t>
  </si>
  <si>
    <t>52 1 55 6931 5981</t>
  </si>
  <si>
    <t>Belén del Valle</t>
  </si>
  <si>
    <t>direccion@espaciokwet.es</t>
  </si>
  <si>
    <t>josiane.fatima@gmail.com</t>
  </si>
  <si>
    <t>Tania Seoane</t>
  </si>
  <si>
    <t>tpseoane@uc.cl</t>
  </si>
  <si>
    <t>Bertha Cardenas</t>
  </si>
  <si>
    <t>darkwitch166@hotmail.com</t>
  </si>
  <si>
    <t>Francesca Crivello</t>
  </si>
  <si>
    <t>crivellofrancesca@gmail.com</t>
  </si>
  <si>
    <t>Eva María Menéndez</t>
  </si>
  <si>
    <t>emenendezparedes@gmail.com</t>
  </si>
  <si>
    <t>Irene Hernandez</t>
  </si>
  <si>
    <t>irenehg1979@yahoo.com</t>
  </si>
  <si>
    <t>Natalia Martinez</t>
  </si>
  <si>
    <t>natamartinez.psi@gmail.com</t>
  </si>
  <si>
    <t>Henrry Javier Canto Huaman</t>
  </si>
  <si>
    <t>cantohenrry21@gmail.com</t>
  </si>
  <si>
    <t>Bernardita Zuñiga</t>
  </si>
  <si>
    <t>bernardita.zuniga@gmail.com</t>
  </si>
  <si>
    <t>Elí Josué Hernández Almaraz</t>
  </si>
  <si>
    <t>elijosher110389@gmail.com</t>
  </si>
  <si>
    <t>Javiera Daccarett Estay</t>
  </si>
  <si>
    <t>javi.daccarett@gmail.com</t>
  </si>
  <si>
    <t>Isa</t>
  </si>
  <si>
    <t>isaura.villa@ukuepa.com</t>
  </si>
  <si>
    <t>Ruben Dario Alvarez Silgado</t>
  </si>
  <si>
    <t>ra2023-0830@uce.edu.do</t>
  </si>
  <si>
    <t>Máster en Psicotraumatología, Estrés Complejo y Violencia Relacional</t>
  </si>
  <si>
    <t>Laura Billón Domenech</t>
  </si>
  <si>
    <t>arual.billon@gmail.com</t>
  </si>
  <si>
    <t>irene gomez santos</t>
  </si>
  <si>
    <t>irenegosan@gmail.com</t>
  </si>
  <si>
    <t>MONICA COLL BESA</t>
  </si>
  <si>
    <t>monica.coll.besa@gmail.com</t>
  </si>
  <si>
    <t>Máster en Coaching Transformacional y Liderazgo Personal</t>
  </si>
  <si>
    <t>Sin Nombre</t>
  </si>
  <si>
    <t>52 1 722 619 8984</t>
  </si>
  <si>
    <t>593 98 389 0615</t>
  </si>
  <si>
    <t>52 1 55 6094 2110</t>
  </si>
  <si>
    <t>51 956 106 540</t>
  </si>
  <si>
    <t xml:space="preserve">Cursos sobre Trastornos Mentales y Psicopatología </t>
  </si>
  <si>
    <t>Jimmy Guerrero</t>
  </si>
  <si>
    <t>jrgt93@outlook.com</t>
  </si>
  <si>
    <t>Malka Vargas</t>
  </si>
  <si>
    <t>malkairina_83@hotmail.com</t>
  </si>
  <si>
    <t>Eva de La O</t>
  </si>
  <si>
    <t>52 1 662 114 1144</t>
  </si>
  <si>
    <t xml:space="preserve">Máster en Neurodiversidad, Inclusión y Psicología Funcional </t>
  </si>
  <si>
    <t>51 987 982 802</t>
  </si>
  <si>
    <t>56 9 3252 5826</t>
  </si>
  <si>
    <t xml:space="preserve">Diplomado en Neurociencia Aplicada al Trauma y la Plasticidad Cerebral </t>
  </si>
  <si>
    <t>52 1 229 477 6943</t>
  </si>
  <si>
    <t>51 990 107 849</t>
  </si>
  <si>
    <t>57 311 2915093</t>
  </si>
  <si>
    <t>56 9 9662 3306</t>
  </si>
  <si>
    <t>57 316 4684157</t>
  </si>
  <si>
    <t>52 1 461 341 6495</t>
  </si>
  <si>
    <t>57 301 3827064</t>
  </si>
  <si>
    <t xml:space="preserve">Máster en Terapia de Pareja y Vínculos Afectivos </t>
  </si>
  <si>
    <t>51 916 486 078</t>
  </si>
  <si>
    <t>51 982 647 664</t>
  </si>
  <si>
    <t>52 1 664 370 6036</t>
  </si>
  <si>
    <t>Antonio Alejandro Sánchez H</t>
  </si>
  <si>
    <t>herreroalejandroantonio4775@gmail.com</t>
  </si>
  <si>
    <t>Diplomado en intervención en Alzheimer y comunicación avanzada</t>
  </si>
  <si>
    <t>51 961 806 649</t>
  </si>
  <si>
    <t>51 945 948 305</t>
  </si>
  <si>
    <t xml:space="preserve">Cursos Online Sobre Coaching y Transformación </t>
  </si>
  <si>
    <t>56 9 3545 9446</t>
  </si>
  <si>
    <t>57 314 4005804</t>
  </si>
  <si>
    <t>52 1 663 105 2499</t>
  </si>
  <si>
    <t>MELISSA YADHIRA M.M</t>
  </si>
  <si>
    <t>51 974 380 386</t>
  </si>
  <si>
    <t>56 9 7873 4300</t>
  </si>
  <si>
    <t>Ledy G</t>
  </si>
  <si>
    <t>57 318 3752156</t>
  </si>
  <si>
    <t>51 982 541 698</t>
  </si>
  <si>
    <t>56 9 9595 9025</t>
  </si>
  <si>
    <t>Diplomado en Psicología Forense Aplicada a Procesos de Custodia y Perfiles</t>
  </si>
  <si>
    <t>Silvia Campos</t>
  </si>
  <si>
    <t>scbeba@hotmail.com</t>
  </si>
  <si>
    <t>Diplomado en Logopedia y Neurorehabilitación en Personas Mayores</t>
  </si>
  <si>
    <t>Arturo Vera</t>
  </si>
  <si>
    <t>52 1 55 5437 9213</t>
  </si>
  <si>
    <t xml:space="preserve">Curso sobre Terapia Dialéctico-Conductual (TDC) </t>
  </si>
  <si>
    <t>52 1 33 1170 0043</t>
  </si>
  <si>
    <t>51 967 058 080</t>
  </si>
  <si>
    <t>51 938 777 983</t>
  </si>
  <si>
    <t>56 9 8147 3590</t>
  </si>
  <si>
    <t>Castillo</t>
  </si>
  <si>
    <t>57 313 3794915</t>
  </si>
  <si>
    <t>Diplomado en Psicología Forense Aplicada a Procesos de Custodia y Perfiles Agresivos</t>
  </si>
  <si>
    <t>52 1 656 531 3726</t>
  </si>
  <si>
    <t>Francisca Vásquez</t>
  </si>
  <si>
    <t>56 9 9713 9520</t>
  </si>
  <si>
    <t>57 300 3125841</t>
  </si>
  <si>
    <t>Liliana Lizárraga</t>
  </si>
  <si>
    <t>51 956 530 725</t>
  </si>
  <si>
    <t>52 1 322 384 0893</t>
  </si>
  <si>
    <t>51 967 669 600</t>
  </si>
  <si>
    <t>Gleidy Chanduvi</t>
  </si>
  <si>
    <t>51 990 299 061</t>
  </si>
  <si>
    <t>57 316 4424072</t>
  </si>
  <si>
    <t>52 1 55 5990 1146</t>
  </si>
  <si>
    <t>51 966 100 410</t>
  </si>
  <si>
    <t>51 932 552 262</t>
  </si>
  <si>
    <t>57 320 3369882</t>
  </si>
  <si>
    <t>52 1 834 307 9304</t>
  </si>
  <si>
    <t>56 9 8596 5164</t>
  </si>
  <si>
    <t>52 1 742 113 3693</t>
  </si>
  <si>
    <t>52 1 55 1431 4169</t>
  </si>
  <si>
    <t xml:space="preserve"> Máster en Psicología del Movimiento, Cuerpo y Expresión Emocional </t>
  </si>
  <si>
    <t>56 9 2802 2476</t>
  </si>
  <si>
    <t>Yully</t>
  </si>
  <si>
    <t>57 301 3839438</t>
  </si>
  <si>
    <t>Irebe</t>
  </si>
  <si>
    <t>34 618 87 02 21</t>
  </si>
  <si>
    <t xml:space="preserve">Diplomado en Terapias Narrativas y Escénicas: Escritura, Psicodrama y Dramaterapia </t>
  </si>
  <si>
    <t xml:space="preserve">María  José </t>
  </si>
  <si>
    <t>56 9 5516 1484</t>
  </si>
  <si>
    <t>Ricardo</t>
  </si>
  <si>
    <t>52 1 351 278 5587</t>
  </si>
  <si>
    <t>Paola</t>
  </si>
  <si>
    <t>34 646 81 50 53</t>
  </si>
  <si>
    <t xml:space="preserve">Curso de Elaboración de Informes Periciales en Logopedia </t>
  </si>
  <si>
    <t>52 1 667 222 9586</t>
  </si>
  <si>
    <t>57 320 6893299</t>
  </si>
  <si>
    <t>Uicab</t>
  </si>
  <si>
    <t>52 1 999 450 9985</t>
  </si>
  <si>
    <t>52 1 449 387 4766</t>
  </si>
  <si>
    <t xml:space="preserve"> Máster en Psicología del Movimiento, Cuerpo y Expresión Emocional</t>
  </si>
  <si>
    <t>Magda</t>
  </si>
  <si>
    <t>52 1 771 201 6077</t>
  </si>
  <si>
    <t xml:space="preserve">Diplomado en Diversidad Sexual, Identidad de Género e Inclusión Clínica </t>
  </si>
  <si>
    <t>57 315 6162860</t>
  </si>
  <si>
    <t>51 967 854 452</t>
  </si>
  <si>
    <t>51 902 645 346</t>
  </si>
  <si>
    <t>51 988 662 700</t>
  </si>
  <si>
    <t>57 313 6876422</t>
  </si>
  <si>
    <t>51 914 775 428</t>
  </si>
  <si>
    <t xml:space="preserve"> Diplomado en Tratamiento de Disfunciones Sexuales</t>
  </si>
  <si>
    <t>56 9 7850 4334</t>
  </si>
  <si>
    <t xml:space="preserve"> Máster en Terapia de Pareja y Vínculos Afectivos</t>
  </si>
  <si>
    <t>Lucia Abril Burgos</t>
  </si>
  <si>
    <t>57 300 6980441</t>
  </si>
  <si>
    <t>56 9 8804 4333</t>
  </si>
  <si>
    <t>52 1 55 6130 2869</t>
  </si>
  <si>
    <t>56 9 7653 3852</t>
  </si>
  <si>
    <t>Diplomado en Tratamiento de Disfunciones Sexuales</t>
  </si>
  <si>
    <t>56 9 5897 9412</t>
  </si>
  <si>
    <t>56 9 4660 5306</t>
  </si>
  <si>
    <t>Roberto</t>
  </si>
  <si>
    <t>56 9 8406 4975</t>
  </si>
  <si>
    <t xml:space="preserve"> Curso de Musicoterapia en Salud Mental</t>
  </si>
  <si>
    <t>Sonia Muñoz</t>
  </si>
  <si>
    <t>34 639 92 54 10</t>
  </si>
  <si>
    <t>Rocio Garcia Cervantes</t>
  </si>
  <si>
    <t>52 1 55 5403 8926</t>
  </si>
  <si>
    <t>Diplomado Neurociencia aplicada al trauma y la plasticidad cerebral.</t>
  </si>
  <si>
    <t>pAmela Beltran</t>
  </si>
  <si>
    <t>56 9 4813 2926</t>
  </si>
  <si>
    <t>Lorena Bley</t>
  </si>
  <si>
    <t>56 9 9364 0326</t>
  </si>
  <si>
    <t>Vanesa Ilizarbe Meza</t>
  </si>
  <si>
    <t>51 966 428 160</t>
  </si>
  <si>
    <t>Lisseth infantes Arriag</t>
  </si>
  <si>
    <t>51 959 718 407</t>
  </si>
  <si>
    <t>Emilia Wong</t>
  </si>
  <si>
    <t>51 931 730 170</t>
  </si>
  <si>
    <t>Beatriz Medina</t>
  </si>
  <si>
    <t>52 1 288 132 0796</t>
  </si>
  <si>
    <t>Diego Prueba</t>
  </si>
  <si>
    <t>diego.landaeta.seo@gmail.com</t>
  </si>
  <si>
    <t>Curso Aprende a manejar tu hambre emocional</t>
  </si>
  <si>
    <t>Leonela Huaca</t>
  </si>
  <si>
    <t>leonela.huaca2716@gmail.com</t>
  </si>
  <si>
    <t>Rosaura Pacheco Santiesteban</t>
  </si>
  <si>
    <t>rpacheco@uach.mx</t>
  </si>
  <si>
    <t>Curso sobre el tratamiento del trastorno obsesivo-compulsivo (TOC)</t>
  </si>
  <si>
    <t>116.67</t>
  </si>
  <si>
    <t>Luciana Jerez</t>
  </si>
  <si>
    <t>liclucianajerez@gmail.com</t>
  </si>
  <si>
    <t>Laura Alejo</t>
  </si>
  <si>
    <t>laura25uvm@gmail.com</t>
  </si>
  <si>
    <t>Gema López</t>
  </si>
  <si>
    <t>haguen2018@gmail.com</t>
  </si>
  <si>
    <t>Curso sobre intervención en las 7 heridas de la infancia</t>
  </si>
  <si>
    <t>Antonio Bernal</t>
  </si>
  <si>
    <t>antoniobernalhermogenes@gmail.com</t>
  </si>
  <si>
    <t>Master en Terapia Familiar Sistémica</t>
  </si>
  <si>
    <t>Patricia Alcalde</t>
  </si>
  <si>
    <t>Máster en Psicología Humanista, Diversidad e Inclusión Social</t>
  </si>
  <si>
    <t>Maru</t>
  </si>
  <si>
    <t>54 9 11 2458-4314</t>
  </si>
  <si>
    <t>Cursos Online Sobre el Manejo de Trastornos Específicos</t>
  </si>
  <si>
    <t>Lucia Bustaque</t>
  </si>
  <si>
    <t>Diplomado en Medicina Tradicional China para la Mujer y el Niño</t>
  </si>
  <si>
    <t>Rebeca Bou Martínez</t>
  </si>
  <si>
    <t>rebecalogopeda@gmail.com</t>
  </si>
  <si>
    <t>María Pagnotta</t>
  </si>
  <si>
    <t>mariainespagnottasanchez@gmail.com</t>
  </si>
  <si>
    <t>Ana Otero</t>
  </si>
  <si>
    <t>info@anaotero.net</t>
  </si>
  <si>
    <t>Master en Psicología del Movimiento, Cuerpo y Expresión Emocional</t>
  </si>
  <si>
    <t>KATIA BAZÁN MARIÑAS</t>
  </si>
  <si>
    <t>katia.bazan@hotmail.es</t>
  </si>
  <si>
    <t>Diplomado en peritaje psicológico de credibilidad en casos de violencia de género</t>
  </si>
  <si>
    <t>Andreaa Beltran</t>
  </si>
  <si>
    <t>andreapaz.beltran@gmail.com</t>
  </si>
  <si>
    <t>Martha Sarmiento</t>
  </si>
  <si>
    <t>sarmientomarta@hotmail.com</t>
  </si>
  <si>
    <t>Brenda Quina</t>
  </si>
  <si>
    <t>xpquina94@gmail.com</t>
  </si>
  <si>
    <t>Diplomado en Psico traumatología Clínica</t>
  </si>
  <si>
    <t>Nancy Durley Rangel Paeody</t>
  </si>
  <si>
    <t>nancydrp17@gmail.com</t>
  </si>
  <si>
    <t>Diplomado en Psicología Hospitalaria y Oncológica</t>
  </si>
  <si>
    <t>Rodrigo Rivas</t>
  </si>
  <si>
    <t>rivas.robledano.r@gmail.com</t>
  </si>
  <si>
    <t>Diplomado Psiconeuroinmunología y Neurofeedback en Salud Mental</t>
  </si>
  <si>
    <t>Carol martinez</t>
  </si>
  <si>
    <t>caritomh0709@gmail.com</t>
  </si>
  <si>
    <t>Diplomado Psicología Forense Procesos de Custodia Perfiles</t>
  </si>
  <si>
    <t>claudia silva</t>
  </si>
  <si>
    <t>vanessacastle297@gmail.com</t>
  </si>
  <si>
    <t>Marlon ChirimiA</t>
  </si>
  <si>
    <t>chirimiamarlon721@gmail.com</t>
  </si>
  <si>
    <t>Hermes Alvarez Soto</t>
  </si>
  <si>
    <t>hermes.alvarez@gmail.com</t>
  </si>
  <si>
    <t>Karina Rodriguez</t>
  </si>
  <si>
    <t>psi.karinardz@gmail.com</t>
  </si>
  <si>
    <t>Crietina Lahuerta Cabañero</t>
  </si>
  <si>
    <t>crislahuerta141@gmail.com</t>
  </si>
  <si>
    <t>Elli C</t>
  </si>
  <si>
    <t>carmonaline1@gmail.com</t>
  </si>
  <si>
    <t>Curso de terapia a través del movimiento y la danza</t>
  </si>
  <si>
    <t>Josheslly cordovez</t>
  </si>
  <si>
    <t>flga.cordovezjosheslly@gmail.com</t>
  </si>
  <si>
    <t>Diplomado en tDCS clínica y aplicaciones terapéuticas avanzadas</t>
  </si>
  <si>
    <t>34 627 06 01 81</t>
  </si>
  <si>
    <t>Diplomado en Neurorrehabilitación Integral</t>
  </si>
  <si>
    <t>34 677 44 48 62</t>
  </si>
  <si>
    <t xml:space="preserve">Máster en Biodanza Aplicada al Desarrollo Humano y Bienestar Integral </t>
  </si>
  <si>
    <t>Luis Ernan</t>
  </si>
  <si>
    <t>57 320 6398731</t>
  </si>
  <si>
    <t>Camargo</t>
  </si>
  <si>
    <t>51 959 742 296</t>
  </si>
  <si>
    <t xml:space="preserve"> Curso sobre intervención psicológica en mujeres víctimas de violencia de género</t>
  </si>
  <si>
    <t>Miguel Torrecilla</t>
  </si>
  <si>
    <t>51 944 891 506</t>
  </si>
  <si>
    <t>Pablo Romero</t>
  </si>
  <si>
    <t>56 9 3746 0489</t>
  </si>
  <si>
    <t>María del Mar</t>
  </si>
  <si>
    <t>51 963 894 352</t>
  </si>
  <si>
    <t xml:space="preserve">Luis </t>
  </si>
  <si>
    <t>57 321 5918550</t>
  </si>
  <si>
    <t>Curso de Intervención con Población Migrante y Re68fugiada</t>
  </si>
  <si>
    <t>Maria</t>
  </si>
  <si>
    <t>52 1 672 125 7933</t>
  </si>
  <si>
    <t>Corina</t>
  </si>
  <si>
    <t>56 9 8636 9699</t>
  </si>
  <si>
    <t xml:space="preserve">Curso Especialista en Trastornos de la Conducta Alimentaria </t>
  </si>
  <si>
    <t>Lidia Rojas Saldaña</t>
  </si>
  <si>
    <t>51 985 950 197</t>
  </si>
  <si>
    <t xml:space="preserve">Diplomado en Peritaje Psicológico de Credibilidad en Casos de Violencia de Género </t>
  </si>
  <si>
    <t>Darlyn</t>
  </si>
  <si>
    <t>51 924 163 732</t>
  </si>
  <si>
    <t>Leonor Chuica Chunga</t>
  </si>
  <si>
    <t>51 926 234 982</t>
  </si>
  <si>
    <t xml:space="preserve">Curso sobre trastornos psicóticos </t>
  </si>
  <si>
    <t>Antonio</t>
  </si>
  <si>
    <t>52 1 653 110 6819</t>
  </si>
  <si>
    <t>57 322 8582470</t>
  </si>
  <si>
    <t>Erika Valencia</t>
  </si>
  <si>
    <t>57 304 5796883</t>
  </si>
  <si>
    <t>Lacramioara Ardelean</t>
  </si>
  <si>
    <t>ardeleanlacramioaradorina@gmail.com</t>
  </si>
  <si>
    <t>Diplomado Neurociencia Aplicada al Trauma y Plasticidad Cerebral</t>
  </si>
  <si>
    <t>51 986 921 902</t>
  </si>
  <si>
    <t>56 9 6707 3335</t>
  </si>
  <si>
    <t>34 600 26 56 10</t>
  </si>
  <si>
    <t>34 646 31 44 86</t>
  </si>
  <si>
    <t>Diplomado en Psicología Emocional: Fobias y Personas Altamente Sensibles</t>
  </si>
  <si>
    <t>Soledad Arriagada</t>
  </si>
  <si>
    <t>soledanza@gmail.com</t>
  </si>
  <si>
    <t>Monica Pons</t>
  </si>
  <si>
    <t>monicapons73@hotmail.com</t>
  </si>
  <si>
    <t>Curso de Manejo del Pánico</t>
  </si>
  <si>
    <t>52 1 347 101 6118</t>
  </si>
  <si>
    <t>56 9 8686 2465</t>
  </si>
  <si>
    <t>56 9 9097 6337</t>
  </si>
  <si>
    <t>Master en Psicología del Movimiento, Cuerpo y Expresión Emocional.</t>
  </si>
  <si>
    <t>52 1 777 132 3635</t>
  </si>
  <si>
    <t xml:space="preserve">Diplomado en Psicología Forense Aplicada a Procesos de Custodia y Perfiles Agresivos </t>
  </si>
  <si>
    <t>51 929 733 405</t>
  </si>
  <si>
    <t>Stephany García Hidalgo</t>
  </si>
  <si>
    <t>stephany.gh91@gmail.com</t>
  </si>
  <si>
    <t>rominaromen91@gmail.com</t>
  </si>
  <si>
    <t>Francisca lobos</t>
  </si>
  <si>
    <t>francisca.lobos@gmail.com</t>
  </si>
  <si>
    <t>Karla Cona</t>
  </si>
  <si>
    <t>ksconap@gmail.com</t>
  </si>
  <si>
    <t>Pedro Contreras</t>
  </si>
  <si>
    <t>pedrobiopsicosocial@gmail.com</t>
  </si>
  <si>
    <t>34 657 69 44 62</t>
  </si>
  <si>
    <t xml:space="preserve"> Curso sobre Intervención en Abuso Sexual </t>
  </si>
  <si>
    <t>Tobias</t>
  </si>
  <si>
    <t>51 929 896 335</t>
  </si>
  <si>
    <t>Adriana Reixach Garcia</t>
  </si>
  <si>
    <t>852 9725 7157</t>
  </si>
  <si>
    <t>51 993 326 616</t>
  </si>
  <si>
    <t>57 310 3608845</t>
  </si>
  <si>
    <t>Diplomado en Psiconeuroinmunología y Neurofeedback Aplicado a la Salud Menta</t>
  </si>
  <si>
    <t>51 959 700 451</t>
  </si>
  <si>
    <t>52 1 998 144 1294</t>
  </si>
  <si>
    <t xml:space="preserve"> Máster en Psicología Aplicada al Trabajo, Organizaciones y Talento Humano</t>
  </si>
  <si>
    <t>57 320 2720879</t>
  </si>
  <si>
    <t>Meivi Gonzalez</t>
  </si>
  <si>
    <t>57 301 4218455</t>
  </si>
  <si>
    <t>Jessica</t>
  </si>
  <si>
    <t>51 958 961 214</t>
  </si>
  <si>
    <t>51 926 188 393</t>
  </si>
  <si>
    <t xml:space="preserve">Curso de Intervención con Población Migrante y Refugiada </t>
  </si>
  <si>
    <t>52 1 55 7677 9664</t>
  </si>
  <si>
    <t>56 9 6494 0664</t>
  </si>
  <si>
    <t xml:space="preserve"> Máster en Psicología del Amor, Apego y Relaciones Conscientes</t>
  </si>
  <si>
    <t>Montse</t>
  </si>
  <si>
    <t>34 606 06 54 52</t>
  </si>
  <si>
    <t>Karina Vinzón</t>
  </si>
  <si>
    <t>51 951 376 886</t>
  </si>
  <si>
    <t>52 1 81 2306 2278</t>
  </si>
  <si>
    <t>Curso de Peritaje y Contra Peritaje Forense</t>
  </si>
  <si>
    <t>51 951 284 214</t>
  </si>
  <si>
    <t>Itza Da conceicao</t>
  </si>
  <si>
    <t>zayli.itza@gmail.com</t>
  </si>
  <si>
    <t>1 (702) 349-5792</t>
  </si>
  <si>
    <t xml:space="preserve">Máster en Psicología y Tecnología Digital para la Salud Mental </t>
  </si>
  <si>
    <t>Daniela Arcila</t>
  </si>
  <si>
    <t>arcilasoto96@gmail.com</t>
  </si>
  <si>
    <t>Rachell Romero</t>
  </si>
  <si>
    <t>rachellrrz24@gmail.com</t>
  </si>
  <si>
    <t>Paola Martínez Veliz</t>
  </si>
  <si>
    <t>paolamartinezveliz@gmail.com</t>
  </si>
  <si>
    <t>Mario Espinosa</t>
  </si>
  <si>
    <t>marioespinoza208761@gmail.com</t>
  </si>
  <si>
    <t>Isis Urdánegui Ugarte</t>
  </si>
  <si>
    <t>isis.urdanegui.ugarte@gmail.com</t>
  </si>
  <si>
    <t>Eva Novo</t>
  </si>
  <si>
    <t>novoeva@yahoo.es</t>
  </si>
  <si>
    <t>Consu</t>
  </si>
  <si>
    <t>56 9 3748 6358</t>
  </si>
  <si>
    <t>Leonor Leal</t>
  </si>
  <si>
    <t>57 321 8976074</t>
  </si>
  <si>
    <t xml:space="preserve">Curso sobre Intervención en Abuso Sexual Infantil </t>
  </si>
  <si>
    <t xml:space="preserve">Rachell </t>
  </si>
  <si>
    <t>52 1 55 1009 5718</t>
  </si>
  <si>
    <t>Yaneth Guevara</t>
  </si>
  <si>
    <t>57 301 6000422</t>
  </si>
  <si>
    <t xml:space="preserve">Máster en Psicología del Amor, Apego y Relaciones Conscientes </t>
  </si>
  <si>
    <t>56 9 6903 7649</t>
  </si>
  <si>
    <t>56 9 9578 7073</t>
  </si>
  <si>
    <t>Curso sobre Intervención en Abuso Sexual Infanti</t>
  </si>
  <si>
    <t>Alexandra Rojas</t>
  </si>
  <si>
    <t>yudy.alexa1992@gmail.com</t>
  </si>
  <si>
    <t>Terapia miofuncional en apnea del sueño</t>
  </si>
  <si>
    <t>Carmen Parraguez</t>
  </si>
  <si>
    <t>parraguezcarmen2@gmail.com</t>
  </si>
  <si>
    <t>Maria Alicia Abdala</t>
  </si>
  <si>
    <t>mar-abd2010@hotmail.com</t>
  </si>
  <si>
    <t>Viviana Enciso</t>
  </si>
  <si>
    <t>Diplomado en audioprotesis y rehabilitación auditiva integral</t>
  </si>
  <si>
    <t>Mónica del Carmen Chebaia</t>
  </si>
  <si>
    <t>monicachebaia@hotmail.com</t>
  </si>
  <si>
    <t>María Ramírez</t>
  </si>
  <si>
    <t>alcira.ramirez8008@gmail.com</t>
  </si>
  <si>
    <t>Julian Vicente</t>
  </si>
  <si>
    <t>j.vicente.bernal@hotmail.com</t>
  </si>
  <si>
    <t>Laura Mojica</t>
  </si>
  <si>
    <t>lauramojica27@gmail.com</t>
  </si>
  <si>
    <t>Stefania Frazier García</t>
  </si>
  <si>
    <t>stefaniafrazier.garcia@gmail.com</t>
  </si>
  <si>
    <t>Diplomado en Terapia de Aceptación y Compromiso ACT</t>
  </si>
  <si>
    <t>Alice Mella</t>
  </si>
  <si>
    <t>a.mellaiguaran@gmail.com</t>
  </si>
  <si>
    <t>Maria Fernanda Gonzalez</t>
  </si>
  <si>
    <t>mfergg2@gmail.com</t>
  </si>
  <si>
    <t>52 1 999 409 7640</t>
  </si>
  <si>
    <t>Marta Menéndez Prieto</t>
  </si>
  <si>
    <t>martamenendezprieto@gmail.com</t>
  </si>
  <si>
    <t>57 321 8295147</t>
  </si>
  <si>
    <t xml:space="preserve"> Curso de Intervención con Población Migrante y Refugiada </t>
  </si>
  <si>
    <t>Amanda Núñez</t>
  </si>
  <si>
    <t>593 99 269 8250</t>
  </si>
  <si>
    <t>Alicia Hernández Bermejo</t>
  </si>
  <si>
    <t>avermell13@gmail.com</t>
  </si>
  <si>
    <t>Lucía Ortega</t>
  </si>
  <si>
    <t>almasclaras@yahoo.es</t>
  </si>
  <si>
    <t>Curso de Psicología Afirmativa LGTBI+</t>
  </si>
  <si>
    <t>AUGUSTA XIMENA CAMPOVERDE PESANTEZ</t>
  </si>
  <si>
    <t>axcampoverdep@ucacue.edu.ec</t>
  </si>
  <si>
    <t>Master en Psicología y Tecnología Digital para la Salud Mental</t>
  </si>
  <si>
    <t>34 616 41 29 77</t>
  </si>
  <si>
    <t>Dariana Maldonado</t>
  </si>
  <si>
    <t>darianamaldorosado18@gmail.com</t>
  </si>
  <si>
    <t>Maestría en Fluidez</t>
  </si>
  <si>
    <t>SOFIA OSOVNIKAR</t>
  </si>
  <si>
    <t>osovnikarsofia@gmail.com</t>
  </si>
  <si>
    <t>Curso sobre intervención en abuso sexual infantil</t>
  </si>
  <si>
    <t>Stephanie Villar Villena</t>
  </si>
  <si>
    <t>stephybaos@gmail.com</t>
  </si>
  <si>
    <t>Escritura terapéutica; Terapias expresivas: movimiento, arte y transformación psicológica</t>
  </si>
  <si>
    <t>Victoria Gomez</t>
  </si>
  <si>
    <t>victoriagv2t@gmail.com</t>
  </si>
  <si>
    <t>María Isabel Salmerón Aguirre</t>
  </si>
  <si>
    <t>isabelsalmeron.psicologia@gmail.com</t>
  </si>
  <si>
    <t>Curso de Terapia Afirmativa LGTB</t>
  </si>
  <si>
    <t>María Verónica Pizarro Tolosa</t>
  </si>
  <si>
    <t>pizzmaveronica@gmail.com</t>
  </si>
  <si>
    <t>Sofia Torassa</t>
  </si>
  <si>
    <t>sofiatorassa@hotmail.com</t>
  </si>
  <si>
    <t>Leidy Vallejo Sánchez</t>
  </si>
  <si>
    <t>vallejosanchezleidy@gmail.com</t>
  </si>
  <si>
    <t>52 1 618 106 3220</t>
  </si>
  <si>
    <t>karina barrera</t>
  </si>
  <si>
    <t>psic.karinabarrera@hotmail.com</t>
  </si>
  <si>
    <t>María del Rosario González R</t>
  </si>
  <si>
    <t>mardelrosario14@gmail.com</t>
  </si>
  <si>
    <t>Curso de Rehabilitación Vestibular Práctica</t>
  </si>
  <si>
    <t>Francesc Ruiz</t>
  </si>
  <si>
    <t>franciscoruizrodriguez1@gmail.com</t>
  </si>
  <si>
    <t>Diplomado Psicología Forense: Procesos de Custodia y Perfiles</t>
  </si>
  <si>
    <t>Erika Cortez Garay</t>
  </si>
  <si>
    <t>34 643 41 92 69</t>
  </si>
  <si>
    <t>Máster en Fitoterapia y Formulación Nutracéutica Avanzada</t>
  </si>
  <si>
    <t>prueba</t>
  </si>
  <si>
    <t>prueba@gmail.com</t>
  </si>
  <si>
    <t>Rossely Jocelyn Uc Arjona</t>
  </si>
  <si>
    <t>ucarjona13@gmail.com</t>
  </si>
  <si>
    <t>Alex Adrián Balcazar</t>
  </si>
  <si>
    <t>vale.balca.zar.rivero@gmail.com</t>
  </si>
  <si>
    <t>Curso sobre psicología afirmativa LGTBI</t>
  </si>
  <si>
    <t xml:space="preserve">Llamar en 2 semanas. </t>
  </si>
  <si>
    <t>Laura Garcia Santos</t>
  </si>
  <si>
    <t>laura.garciasantos1603@gmail.com</t>
  </si>
  <si>
    <t>Patricia Acisclo Vivar</t>
  </si>
  <si>
    <t>Maria Teresa Ruiz Jimenez</t>
  </si>
  <si>
    <t>ruizjimenez@telefonica.net</t>
  </si>
  <si>
    <t>Curso de Musicoterapia en salud mental</t>
  </si>
  <si>
    <t>Viky Gutiérrez Gómez</t>
  </si>
  <si>
    <t>Vikyu0426@hotmail.com</t>
  </si>
  <si>
    <t>Maestría en rehabilitación vestibular y tinnitus</t>
  </si>
  <si>
    <t>Noelia Elvira Gascón García</t>
  </si>
  <si>
    <t>Curso de manejo del dolor crónico</t>
  </si>
  <si>
    <t>57 312 7216595</t>
  </si>
  <si>
    <t>Evaluación clínica y nutrición funcional</t>
  </si>
  <si>
    <t>Sam</t>
  </si>
  <si>
    <t>57 317 7969287</t>
  </si>
  <si>
    <t xml:space="preserve">Diplomado en Rehabilitación de la Deglución y Disfagia </t>
  </si>
  <si>
    <t>Alex Javier Macías Pérez</t>
  </si>
  <si>
    <t>psic.alexmaciasofi@gmail.com</t>
  </si>
  <si>
    <t>Curso Avanzado en Peritaje y Contraperitaje Psicológico Forense</t>
  </si>
  <si>
    <t>Lucia Perez Casillas</t>
  </si>
  <si>
    <t>percasilu@gmail.com</t>
  </si>
  <si>
    <t>Diana</t>
  </si>
  <si>
    <t>57 320 2159996</t>
  </si>
  <si>
    <t>Curso de Psicogerontologia</t>
  </si>
  <si>
    <t>PaulaBFerreyraCi</t>
  </si>
  <si>
    <t>34 603 27 77 13</t>
  </si>
  <si>
    <t>Curso en Regulación Psicofisiológica del Estrés y la Ansiedad</t>
  </si>
  <si>
    <t>Camilo Espinosa</t>
  </si>
  <si>
    <t>57 301 4916120</t>
  </si>
  <si>
    <t>54 9 11 7853-3954</t>
  </si>
  <si>
    <t xml:space="preserve">Curso de Evaluación del Desarrollo en la Primera Infancia </t>
  </si>
  <si>
    <t>Beatriz</t>
  </si>
  <si>
    <t>beatrizt@gmail.com</t>
  </si>
  <si>
    <t>María Vera</t>
  </si>
  <si>
    <t>mariafernandaveraerazo@gmail.com</t>
  </si>
  <si>
    <t>Carmen Martinez</t>
  </si>
  <si>
    <t>57 314 7538434</t>
  </si>
  <si>
    <t>54 9 11 3086-7736</t>
  </si>
  <si>
    <t xml:space="preserve"> Curso de Intervención clínica en abuso narcisista: guía terapéutica para psicólogos </t>
  </si>
  <si>
    <t>Lucía Sesmero González</t>
  </si>
  <si>
    <t>lucsesgon@gmail.com</t>
  </si>
  <si>
    <t>Curso de terapias de 3ª generación</t>
  </si>
  <si>
    <t>Samira</t>
  </si>
  <si>
    <t>591 78169960</t>
  </si>
  <si>
    <t>Terapia Miofuncional</t>
  </si>
  <si>
    <t>Karen</t>
  </si>
  <si>
    <t>593 96 861 1424</t>
  </si>
  <si>
    <t xml:space="preserve">Diplomado en Logopedia Educativa y Escolar </t>
  </si>
  <si>
    <t>Ximena Campoverde</t>
  </si>
  <si>
    <t>Elisabeth González Poches</t>
  </si>
  <si>
    <t>egonzalezpo1980@gmail.com</t>
  </si>
  <si>
    <t>Master en Terapia de Pareja y Vínculos Afectivos</t>
  </si>
  <si>
    <t>Master en Neurodiversidad, Inclusión y Psicología Funcional</t>
  </si>
  <si>
    <t>Silvia</t>
  </si>
  <si>
    <t>34 634 08 88 99</t>
  </si>
  <si>
    <t>Curso de Peritaje Psicológico y Elaboración de Informes Forense</t>
  </si>
  <si>
    <t>Sin nombre</t>
  </si>
  <si>
    <t>Diplomado en Intervención Psicosocial en Contextos de Pobreza y Vulnerabilidad</t>
  </si>
  <si>
    <t>Bertha</t>
  </si>
  <si>
    <t>51 994 367 290</t>
  </si>
  <si>
    <t>Curso de Evaluación Ecológica Momentánea (EMA)</t>
  </si>
  <si>
    <t>57 301 4544025</t>
  </si>
  <si>
    <t>Eve</t>
  </si>
  <si>
    <t>57 316 5575654</t>
  </si>
  <si>
    <t>55 11 97224-7259</t>
  </si>
  <si>
    <t>Facultades...</t>
  </si>
  <si>
    <t>Sergio</t>
  </si>
  <si>
    <t>57 301 7603737</t>
  </si>
  <si>
    <t xml:space="preserve">Sanación Pránica Energética </t>
  </si>
  <si>
    <t>Maite González</t>
  </si>
  <si>
    <t>maitega@edu.xunta.gal</t>
  </si>
  <si>
    <t>Celia Rubianes Aguilar</t>
  </si>
  <si>
    <t>cirubianes@gmail.com</t>
  </si>
  <si>
    <t>Evelyn Navarrete Briones</t>
  </si>
  <si>
    <t>navarretebriones@gmail.com</t>
  </si>
  <si>
    <t>Diplomado en Gestión de Proyectos</t>
  </si>
  <si>
    <t>34 607 53 78 39</t>
  </si>
  <si>
    <t xml:space="preserve"> Curso para Superar la timidez y Ansiedad Social </t>
  </si>
  <si>
    <t>593 99 825 8864</t>
  </si>
  <si>
    <t>MASTER EN FITOTERAPIA CLINICA Y BIOACTIVOS REGENERATIVOS</t>
  </si>
  <si>
    <t>carmenrojasmarquez14@gmail.com</t>
  </si>
  <si>
    <t>Diplomado en Terapia Miofuncional y Funcion Orofacial</t>
  </si>
  <si>
    <t>María Alejandra González Morales</t>
  </si>
  <si>
    <t>psic.aleglz@gmail.com</t>
  </si>
  <si>
    <t>Master en Peritaje Psicológico y Credibilidad del Testimonio</t>
  </si>
  <si>
    <t>Diani</t>
  </si>
  <si>
    <t>Diplomado en Rehabilitación de la Deglución y Disfagia</t>
  </si>
  <si>
    <t>Eunice F</t>
  </si>
  <si>
    <t>593 96 929 1201</t>
  </si>
  <si>
    <t>Manoli Villarino Díaz</t>
  </si>
  <si>
    <t>manolividi1978@gmail.com</t>
  </si>
  <si>
    <t>Master en Intervención Psicológica en Trauma y Estrés Postraumático TEPT</t>
  </si>
  <si>
    <t>Lourdes Azor Fernández</t>
  </si>
  <si>
    <t>lazorfernandez@yahoo.es</t>
  </si>
  <si>
    <t>Diplomado en Técnicas de Feminización Vocal para Mujeres Trans</t>
  </si>
  <si>
    <t>Diplomado en Voz Profesional y Foniatría Aplicada</t>
  </si>
  <si>
    <t>Raluca Larisa Galata</t>
  </si>
  <si>
    <t>raluca.galata@yahoo.com</t>
  </si>
  <si>
    <t>Master en Neurorehabilitación y Terapias Avanzadas para Trastornos Neurológicos</t>
  </si>
  <si>
    <t>34 613 74 51 65</t>
  </si>
  <si>
    <t>Adrián Alcolea Domingo</t>
  </si>
  <si>
    <t>adrianalcolea3@gmail.com</t>
  </si>
  <si>
    <t>Curso de intervención específica en TEA</t>
  </si>
  <si>
    <t>Karol Alava</t>
  </si>
  <si>
    <t>593 97 991 8516</t>
  </si>
  <si>
    <t xml:space="preserve">Máster en Audioprótesis y Rehabilitación Auditiva Integral </t>
  </si>
  <si>
    <t>Alexandra cayo</t>
  </si>
  <si>
    <t>dra.alexandracayo@gmail.com</t>
  </si>
  <si>
    <t>Curso de neurofeedback y biofeedback para profesionales sanitarios</t>
  </si>
  <si>
    <t>kimberly Medina</t>
  </si>
  <si>
    <t>kimimedinasal@gmail.com</t>
  </si>
  <si>
    <t>Yanelli Estrada</t>
  </si>
  <si>
    <t>52 1 722 393 4313</t>
  </si>
  <si>
    <t>Máster en Terapia de Pareja y Vínculos Afectivos,</t>
  </si>
  <si>
    <t>Diana Gonzalez</t>
  </si>
  <si>
    <t>marcefono15@gmail.com</t>
  </si>
  <si>
    <t>57 301 2727603</t>
  </si>
  <si>
    <t>Ana Maria Garcia A</t>
  </si>
  <si>
    <t>anag096@gmail.com</t>
  </si>
  <si>
    <t>Diplomado en Salud Mental y Migración</t>
  </si>
  <si>
    <t>Lizbeth</t>
  </si>
  <si>
    <t>593 98 026 8837</t>
  </si>
  <si>
    <t>Ana G</t>
  </si>
  <si>
    <t>Luzyta</t>
  </si>
  <si>
    <t>34 686 17 16 67</t>
  </si>
  <si>
    <t>patrica acisclo vivar</t>
  </si>
  <si>
    <t>Betzabel García</t>
  </si>
  <si>
    <t>betzabelgarciac@gmail.com</t>
  </si>
  <si>
    <t>Diplomado en Psiconeuroinmunología Clínica Aplicada</t>
  </si>
  <si>
    <t>Mireia</t>
  </si>
  <si>
    <t>Masterclass Intervención Clínica en Abuso Narcisista - Guía Terapéutica</t>
  </si>
  <si>
    <t>34 636 97 75 16</t>
  </si>
  <si>
    <t>Magdalena González</t>
  </si>
  <si>
    <t>maguigonzalez21@gmail.com</t>
  </si>
  <si>
    <t>Master en Tarot Terapeutico Sistemico y Relacional</t>
  </si>
  <si>
    <t>Augusto</t>
  </si>
  <si>
    <t>51 988 050 960</t>
  </si>
  <si>
    <t>Curso de neurofeedback y biofeedback en la práctica Clinica</t>
  </si>
  <si>
    <t>melissa flores salazar</t>
  </si>
  <si>
    <t>meliprincess2380@gmail.com</t>
  </si>
  <si>
    <t>51 926 394 190</t>
  </si>
  <si>
    <t>Máster en Rehabilitación de la Voz</t>
  </si>
  <si>
    <t>Carla</t>
  </si>
  <si>
    <t>81 90-7430-6050</t>
  </si>
  <si>
    <t>Master en psicología de la salud e intervención en procesos crónicos</t>
  </si>
  <si>
    <t>Dayana Pérez</t>
  </si>
  <si>
    <t>593 98 464 9271</t>
  </si>
  <si>
    <t>Diplomado en terapia miofuncional y funcion orofacial</t>
  </si>
  <si>
    <t>meli</t>
  </si>
  <si>
    <t>51 926 893 021</t>
  </si>
  <si>
    <t>Iri Correa</t>
  </si>
  <si>
    <t>57 305 3481328</t>
  </si>
  <si>
    <t>Master en Psicotraumatología, Estrés Complejo y Violencia Relacional</t>
  </si>
  <si>
    <t>Yam</t>
  </si>
  <si>
    <t>52 1 951 127 4414</t>
  </si>
  <si>
    <t>Augusta</t>
  </si>
  <si>
    <t>593 99 997 7852</t>
  </si>
  <si>
    <t>Máster en Psicología Digital, Ciberconducta y Salud Menta</t>
  </si>
  <si>
    <t>52 1 449 425 5580</t>
  </si>
  <si>
    <t>Marco Andrade</t>
  </si>
  <si>
    <t>marco.abdulmalik@gmail.com</t>
  </si>
  <si>
    <t>Silvia Paños Leiva</t>
  </si>
  <si>
    <t>silviapanos@gmail.com</t>
  </si>
  <si>
    <t>Diego Seo</t>
  </si>
  <si>
    <t>Maestría en intervención fonoaudiológica</t>
  </si>
  <si>
    <t>Master en Métodos Avanzados de Evaluación Psicológica y Tecnología Aplicada</t>
  </si>
  <si>
    <t>Master en métodos avanzados de evaluación psicológica y tecnología aplicada</t>
  </si>
  <si>
    <t>Master en Metodos Avanzados de Evaluacion Psicologica y Tecnologia Aplicada</t>
  </si>
  <si>
    <t>Máster en Métodos Avanzados de Evaluación Psicológica y Tecnología Aplicada</t>
  </si>
  <si>
    <t>Guadalupe Ferat Reyes</t>
  </si>
  <si>
    <t>Guadalupeferatreyes@gmail.com</t>
  </si>
  <si>
    <t>Master en Psicología Intercultural, Migración y Cooperación Internacional</t>
  </si>
  <si>
    <t>Ralph Ndongo Evina</t>
  </si>
  <si>
    <t>ralphevina@gmail.com</t>
  </si>
  <si>
    <t>Curso de programación y seguimiento de implantes cocleares</t>
  </si>
  <si>
    <t>Carmen Escaño</t>
  </si>
  <si>
    <t>carmenesca308@gmail.com</t>
  </si>
  <si>
    <t>Susana Franco Diz</t>
  </si>
  <si>
    <t>susana.f.diz@hotmail.com</t>
  </si>
  <si>
    <t>Master en Psicología Humanista, Diversidad e Inclusión Social</t>
  </si>
  <si>
    <t>Camila Amaya Garcia</t>
  </si>
  <si>
    <t>akemicamila.amayagarcia@gmail.com</t>
  </si>
  <si>
    <t>Laura Mancebo</t>
  </si>
  <si>
    <t>laura.mancebo.crespo@gmail.com</t>
  </si>
  <si>
    <t>(787) 316-0467</t>
  </si>
  <si>
    <t>34 610 89 58 63</t>
  </si>
  <si>
    <t>Jessy</t>
  </si>
  <si>
    <t>34 657 17 72 82</t>
  </si>
  <si>
    <t xml:space="preserve">Jenny Duque </t>
  </si>
  <si>
    <t>51 955 511 999</t>
  </si>
  <si>
    <t>Curso de Psicologia Transpersonal</t>
  </si>
  <si>
    <t>Rosario Enríquez</t>
  </si>
  <si>
    <t>504 9985-1524</t>
  </si>
  <si>
    <t>Luz Bravo</t>
  </si>
  <si>
    <t>52 1 55 5406 9423</t>
  </si>
  <si>
    <t>Máster en Afasia y Daño Cerebral Adquirido</t>
  </si>
  <si>
    <t>nevadopsicologia@gmail.com</t>
  </si>
  <si>
    <t>34 685 32 06 51</t>
  </si>
  <si>
    <t>Marta</t>
  </si>
  <si>
    <t>34 605 75 73 08</t>
  </si>
  <si>
    <t>593 96 313 4006</t>
  </si>
  <si>
    <t>Ascen Jimenez-becerril</t>
  </si>
  <si>
    <t>ascenjb@gmail.com</t>
  </si>
  <si>
    <t>Máster en Psiconeuroinmunoendocrinología Integrativa PNIE</t>
  </si>
  <si>
    <t>Carina Sanchez</t>
  </si>
  <si>
    <t>Elvi Laborda</t>
  </si>
  <si>
    <t>Elvi.laborda69@gmail.com</t>
  </si>
  <si>
    <t>34 629 68 72 42</t>
  </si>
  <si>
    <t>Carmen Taules</t>
  </si>
  <si>
    <t>carmen.taes20@gmail.com</t>
  </si>
  <si>
    <t>Curso de Terapias de 3a Generación</t>
  </si>
  <si>
    <t>Master en Psicoterapia y Técnicas de intervención emocional</t>
  </si>
  <si>
    <t>Master en Psicoterapia y Técnicas de Intervención Emocional</t>
  </si>
  <si>
    <t>Ana Luz Domínguez Carranza</t>
  </si>
  <si>
    <t>doca.750526@hotmail.com</t>
  </si>
  <si>
    <t>Daniela Milanocedillo</t>
  </si>
  <si>
    <t>dmilanocedillo@gmail.com</t>
  </si>
  <si>
    <t>Diplomado en Tarot y Acompañamiento en Procesos de Cambio</t>
  </si>
  <si>
    <t>34 615 31 43 85</t>
  </si>
  <si>
    <t>52 1 55 3570 9022</t>
  </si>
  <si>
    <t>Dayna</t>
  </si>
  <si>
    <t>Roberta</t>
  </si>
  <si>
    <t>34 693 59 21 37</t>
  </si>
  <si>
    <t>Carla Mora</t>
  </si>
  <si>
    <t>34 679 89 13 15</t>
  </si>
  <si>
    <t>ISEIIH</t>
  </si>
  <si>
    <t>Ramiro</t>
  </si>
  <si>
    <t>34 655 67 46 69</t>
  </si>
  <si>
    <t>Curso en Nutrición Terapéutica y Funcional</t>
  </si>
  <si>
    <t>Isabel Ramirez</t>
  </si>
  <si>
    <t>52 1 312 166 2251</t>
  </si>
  <si>
    <t>Diplomado en Logopedia Educativa y Escolar</t>
  </si>
  <si>
    <t>Barbara Diaz</t>
  </si>
  <si>
    <t>barbara.diaz.gil@gmail.com</t>
  </si>
  <si>
    <t>Curso sobre Psicología Afirmativa LGTBI</t>
  </si>
  <si>
    <t>miriam perez jurado</t>
  </si>
  <si>
    <t>miriamperez5c@gmail.com</t>
  </si>
  <si>
    <t>Diplomado de Psicología Forense - Procesos de Custodia y Perfiles</t>
  </si>
  <si>
    <t>Luis Ollej</t>
  </si>
  <si>
    <t>502 4949 7684</t>
  </si>
  <si>
    <t>Diplomado en Terapia Sexual y de Pareja y Máster en Sexología Clínica y Relaciones Conscientes</t>
  </si>
  <si>
    <t>Master en Psicoterapia y Tecnicas de Intervencion Emocional</t>
  </si>
  <si>
    <t>Máster en Psicoterapia y Técnicas de Intervención Emocional</t>
  </si>
  <si>
    <t>Master en Neurociencia Aplicada a la Salud Mental y Trastornos Emocionales</t>
  </si>
  <si>
    <t>1 (786) 380-8050</t>
  </si>
  <si>
    <t>57 300 6102276</t>
  </si>
  <si>
    <t>Vanessa</t>
  </si>
  <si>
    <t>57 304 6077937</t>
  </si>
  <si>
    <t>Veronica Sevillano</t>
  </si>
  <si>
    <t>pilateszien@gmail.com</t>
  </si>
  <si>
    <t>34 640 91 15 04</t>
  </si>
  <si>
    <t>Diplomado en Nutrición Avanzada y Metabolómica Aplicada</t>
  </si>
  <si>
    <t>Eleonora</t>
  </si>
  <si>
    <t>598 91 267 563</t>
  </si>
  <si>
    <t>Nelson Victoria Bonelo</t>
  </si>
  <si>
    <t>nelvibo10@gmail.com</t>
  </si>
  <si>
    <t>Neuromodulación Cerebral No Invasiva</t>
  </si>
  <si>
    <t>Beatriz Alonso</t>
  </si>
  <si>
    <t>beatriza88@gmail.com</t>
  </si>
  <si>
    <t>Bren</t>
  </si>
  <si>
    <t>brensacosme886@gmail.com</t>
  </si>
  <si>
    <t>52 1 55 2757 4486</t>
  </si>
  <si>
    <t>Curso sobre el trastorno de déficit de atención e hiperactividad (TDAH)</t>
  </si>
  <si>
    <t>Angeles Melendez Morales</t>
  </si>
  <si>
    <t>nutriortocoach@gmail.com</t>
  </si>
  <si>
    <t>Diplomado en Neurociencia y Psicopatologia Infantil</t>
  </si>
  <si>
    <t>Nicole marquez</t>
  </si>
  <si>
    <t>nicoleaimee206@gmail.com</t>
  </si>
  <si>
    <t>Fernanda Reyes</t>
  </si>
  <si>
    <t>mariafernanda.reyes@gmail.com</t>
  </si>
  <si>
    <t>Iris</t>
  </si>
  <si>
    <t>34 633 78 21 95</t>
  </si>
  <si>
    <t>Tania</t>
  </si>
  <si>
    <t>34 628 60 35 03</t>
  </si>
  <si>
    <t>Máster en Peritaje Psicológico y Credibilidad del Testimonio</t>
  </si>
  <si>
    <t>Alejandro Palacios</t>
  </si>
  <si>
    <t>apalgo8@gmail.com</t>
  </si>
  <si>
    <t>57 333 7013143</t>
  </si>
  <si>
    <t>?</t>
  </si>
  <si>
    <t>Bea</t>
  </si>
  <si>
    <t>34 685 17 62 10</t>
  </si>
  <si>
    <t>Máster en Feminización y Masculinización de la Voz en Personas Trans</t>
  </si>
  <si>
    <t>María Marín</t>
  </si>
  <si>
    <t>mavimv@edu.xunta.gal</t>
  </si>
  <si>
    <t>Ciro Caro García</t>
  </si>
  <si>
    <t>ciro@thaei.services</t>
  </si>
  <si>
    <t>Máster en Evaluación Psicológica Innovadora y Transformación Digital</t>
  </si>
  <si>
    <t>montsebogajodarocas@gmail.com</t>
  </si>
  <si>
    <t>Eugenia Dudnik</t>
  </si>
  <si>
    <t>54 9 3416 92-9404</t>
  </si>
  <si>
    <t>diego@prueba.com</t>
  </si>
  <si>
    <t>Curso en creatividad para autoconocimiento</t>
  </si>
  <si>
    <t>Curso en Creatividad para Autoconocimiento</t>
  </si>
  <si>
    <t>kjijiuiuj asdsa</t>
  </si>
  <si>
    <t>julian180808@gmail.com</t>
  </si>
  <si>
    <t>Curso en microbiota femenina y bienestar integral</t>
  </si>
  <si>
    <t>Wyomina</t>
  </si>
  <si>
    <t>51 987 839 995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</si>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</sst>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\ [$€-1]"/>
    <numFmt numFmtId="165" formatCode="dd\.mm\.yy"/>
    <numFmt numFmtId="166" formatCode="dd\-mm\-yy"/>
    <numFmt numFmtId="167" formatCode="d/m"/>
    <numFmt numFmtId="168" formatCode="d\-m\-yy"/>
    <numFmt numFmtId="169" formatCode="d/m/yy"/>
    <numFmt numFmtId="170" formatCode="d&quot; de &quot;mmmm&quot; de &quot;yyyy"/>
    <numFmt numFmtId="171" formatCode="dd/mm/yy"/>
    <numFmt numFmtId="172" formatCode="dd\-mm\-yyyy"/>
    <numFmt numFmtId="177" formatCode="d\ mmmm"/>
    <numFmt numFmtId="178" formatCode="d&quot; de &quot;mmmm"/>
    <numFmt numFmtId="179" formatCode="mmmm\ d\,\ yyyy"/>
  </numFmts>
  <fonts count="5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-apple-system"/>
    </font>
    <font>
      <b/>
      <sz val="10"/>
      <color rgb="FF21252C"/>
      <name val="-apple-system"/>
    </font>
    <font>
      <b/>
      <sz val="10"/>
      <color rgb="FF000000"/>
      <name val="Arial"/>
    </font>
    <font>
      <sz val="10"/>
      <color rgb="FF000000"/>
      <name val="-apple-system"/>
    </font>
    <font>
      <sz val="10"/>
      <color theme="1"/>
      <name val="Arial"/>
    </font>
    <font>
      <sz val="11"/>
      <color rgb="FF414552"/>
      <name val="-apple-system"/>
    </font>
    <font>
      <sz val="11"/>
      <color theme="1"/>
      <name val="Arial"/>
      <scheme val="minor"/>
    </font>
    <font>
      <sz val="11"/>
      <color rgb="FF353A44"/>
      <name val="-apple-system"/>
    </font>
    <font>
      <sz val="11"/>
      <color rgb="FF000000"/>
      <name val="-apple-system"/>
    </font>
    <font>
      <sz val="10"/>
      <color rgb="FF2C363A"/>
      <name val="Verdana"/>
    </font>
    <font>
      <sz val="10"/>
      <color rgb="FF21252C"/>
      <name val="-apple-system"/>
    </font>
    <font>
      <sz val="10"/>
      <color rgb="FF000000"/>
      <name val="Arial"/>
      <scheme val="minor"/>
    </font>
    <font>
      <sz val="11"/>
      <color rgb="FF414552"/>
      <name val="Arial"/>
    </font>
    <font>
      <u/>
      <sz val="10"/>
      <color rgb="FF0000FF"/>
      <name val="Arial"/>
    </font>
    <font>
      <sz val="11"/>
      <color rgb="FF353A44"/>
      <name val="Arial"/>
    </font>
    <font>
      <sz val="11"/>
      <color rgb="FF333333"/>
      <name val="Arial"/>
    </font>
    <font>
      <sz val="11"/>
      <color rgb="FF2C363A"/>
      <name val="Roboto"/>
    </font>
    <font>
      <u/>
      <sz val="10"/>
      <color rgb="FF1155CC"/>
      <name val="Arial"/>
    </font>
    <font>
      <sz val="11"/>
      <color rgb="FF1A2C44"/>
      <name val="-apple-system"/>
    </font>
    <font>
      <sz val="10"/>
      <color rgb="FF000000"/>
      <name val="Poppins"/>
    </font>
    <font>
      <sz val="10"/>
      <color rgb="FF292929"/>
      <name val="&quot;Tenor Sans&quot;"/>
    </font>
    <font>
      <sz val="10"/>
      <color rgb="FF292929"/>
      <name val="Tenor Sans"/>
    </font>
    <font>
      <sz val="10"/>
      <color rgb="FF333333"/>
      <name val="Arial"/>
    </font>
    <font>
      <sz val="10"/>
      <color rgb="FF333333"/>
      <name val="Arial"/>
    </font>
    <font>
      <b/>
      <sz val="10"/>
      <color rgb="FF2C363A"/>
      <name val="Roboto"/>
    </font>
    <font>
      <b/>
      <sz val="10"/>
      <color rgb="FFFFFFFF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1"/>
      <color rgb="FF2C363A"/>
      <name val="Roboto"/>
    </font>
    <font>
      <b/>
      <sz val="11"/>
      <color rgb="FF000000"/>
      <name val="Roboto"/>
    </font>
    <font>
      <b/>
      <sz val="10"/>
      <color rgb="FF222222"/>
      <name val="Arial"/>
    </font>
    <font>
      <sz val="12"/>
      <color rgb="FF000000"/>
      <name val="Roboto"/>
    </font>
    <font>
      <b/>
      <sz val="10"/>
      <color rgb="FF1D2125"/>
      <name val="-apple-system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Roboto"/>
    </font>
    <font>
      <sz val="10"/>
      <color rgb="FF0C1014"/>
      <name val="-apple-system"/>
    </font>
    <font>
      <sz val="10"/>
      <color rgb="FF121212"/>
      <name val="Poppins"/>
    </font>
    <font>
      <sz val="10"/>
      <color rgb="FF363636"/>
      <name val="Arial"/>
      <scheme val="minor"/>
    </font>
    <font>
      <u/>
      <sz val="11"/>
      <color rgb="FF000000"/>
      <name val="Arial"/>
    </font>
    <font>
      <sz val="10"/>
      <color rgb="FF000000"/>
      <name val="&quot;Tenor Sans&quot;"/>
    </font>
    <font>
      <sz val="11"/>
      <color rgb="FF292929"/>
      <name val="&quot;Tenor Sans&quot;"/>
    </font>
    <font>
      <i/>
      <sz val="10"/>
      <color theme="1"/>
      <name val="Arial"/>
      <scheme val="minor"/>
    </font>
    <font>
      <sz val="12"/>
      <color rgb="FF363636"/>
      <name val="&quot;Cormorant Garamond&quot;"/>
    </font>
    <font>
      <sz val="11"/>
      <color rgb="FF18181A"/>
      <name val="&quot;DM Sans&quot;"/>
    </font>
    <font>
      <sz val="11"/>
      <color rgb="FF58585E"/>
      <name val="&quot;DM Sans&quot;"/>
    </font>
    <font>
      <sz val="10"/>
      <color rgb="FF262831"/>
      <name val="System-ui"/>
    </font>
    <font>
      <b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AFB"/>
        <bgColor rgb="FFFFFAFB"/>
      </patternFill>
    </fill>
    <fill>
      <patternFill patternType="solid">
        <fgColor rgb="FFCCCCCC"/>
        <bgColor rgb="FFCCCCCC"/>
      </patternFill>
    </fill>
    <fill>
      <patternFill patternType="solid">
        <fgColor rgb="FF274E13"/>
        <bgColor rgb="FF274E13"/>
      </patternFill>
    </fill>
    <fill>
      <patternFill patternType="solid">
        <fgColor rgb="FF46AB12"/>
        <bgColor rgb="FF46AB12"/>
      </patternFill>
    </fill>
    <fill>
      <patternFill patternType="solid">
        <fgColor rgb="FFCFE2F3"/>
        <bgColor rgb="FFCFE2F3"/>
      </patternFill>
    </fill>
    <fill>
      <patternFill patternType="solid">
        <fgColor rgb="FFF1F3F4"/>
        <bgColor rgb="FFF1F3F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3" fillId="0" borderId="0" xfId="0" applyFont="1"/>
    <xf numFmtId="166" fontId="3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167" fontId="3" fillId="0" borderId="0" xfId="0" applyNumberFormat="1" applyFont="1"/>
    <xf numFmtId="0" fontId="4" fillId="0" borderId="0" xfId="0" applyFont="1"/>
    <xf numFmtId="164" fontId="5" fillId="2" borderId="0" xfId="0" applyNumberFormat="1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2" fillId="0" borderId="0" xfId="0" applyFont="1"/>
    <xf numFmtId="9" fontId="3" fillId="0" borderId="0" xfId="0" applyNumberFormat="1" applyFont="1"/>
    <xf numFmtId="164" fontId="3" fillId="0" borderId="0" xfId="0" applyNumberFormat="1" applyFont="1" applyAlignment="1">
      <alignment horizontal="right"/>
    </xf>
    <xf numFmtId="168" fontId="3" fillId="0" borderId="0" xfId="0" applyNumberFormat="1" applyFont="1"/>
    <xf numFmtId="0" fontId="9" fillId="2" borderId="0" xfId="0" applyFont="1" applyFill="1"/>
    <xf numFmtId="169" fontId="3" fillId="0" borderId="0" xfId="0" applyNumberFormat="1" applyFont="1"/>
    <xf numFmtId="0" fontId="10" fillId="0" borderId="0" xfId="0" applyFont="1"/>
    <xf numFmtId="164" fontId="3" fillId="0" borderId="0" xfId="0" applyNumberFormat="1" applyFont="1" applyAlignment="1">
      <alignment horizontal="left"/>
    </xf>
    <xf numFmtId="0" fontId="11" fillId="2" borderId="0" xfId="0" applyFont="1" applyFill="1"/>
    <xf numFmtId="0" fontId="3" fillId="0" borderId="0" xfId="0" applyFont="1" applyAlignment="1">
      <alignment horizontal="right"/>
    </xf>
    <xf numFmtId="0" fontId="12" fillId="0" borderId="0" xfId="0" applyFont="1"/>
    <xf numFmtId="0" fontId="13" fillId="2" borderId="0" xfId="0" applyFont="1" applyFill="1"/>
    <xf numFmtId="164" fontId="12" fillId="0" borderId="0" xfId="0" applyNumberFormat="1" applyFont="1"/>
    <xf numFmtId="10" fontId="12" fillId="0" borderId="0" xfId="0" applyNumberFormat="1" applyFont="1"/>
    <xf numFmtId="167" fontId="12" fillId="0" borderId="0" xfId="0" applyNumberFormat="1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70" fontId="3" fillId="0" borderId="0" xfId="0" applyNumberFormat="1" applyFont="1"/>
    <xf numFmtId="171" fontId="3" fillId="0" borderId="0" xfId="0" applyNumberFormat="1" applyFont="1"/>
    <xf numFmtId="164" fontId="4" fillId="0" borderId="0" xfId="0" applyNumberFormat="1" applyFont="1"/>
    <xf numFmtId="0" fontId="14" fillId="2" borderId="0" xfId="0" applyFont="1" applyFill="1"/>
    <xf numFmtId="0" fontId="15" fillId="2" borderId="0" xfId="0" applyFont="1" applyFill="1" applyAlignment="1">
      <alignment horizontal="left"/>
    </xf>
    <xf numFmtId="0" fontId="16" fillId="2" borderId="0" xfId="0" applyFont="1" applyFill="1"/>
    <xf numFmtId="164" fontId="11" fillId="2" borderId="0" xfId="0" applyNumberFormat="1" applyFont="1" applyFill="1"/>
    <xf numFmtId="164" fontId="16" fillId="2" borderId="0" xfId="0" applyNumberFormat="1" applyFont="1" applyFill="1"/>
    <xf numFmtId="0" fontId="17" fillId="0" borderId="0" xfId="0" applyFont="1"/>
    <xf numFmtId="164" fontId="18" fillId="2" borderId="0" xfId="0" applyNumberFormat="1" applyFont="1" applyFill="1"/>
    <xf numFmtId="0" fontId="19" fillId="0" borderId="0" xfId="0" applyFont="1"/>
    <xf numFmtId="170" fontId="4" fillId="0" borderId="0" xfId="0" applyNumberFormat="1" applyFont="1" applyAlignment="1">
      <alignment horizontal="right"/>
    </xf>
    <xf numFmtId="167" fontId="4" fillId="0" borderId="0" xfId="0" applyNumberFormat="1" applyFont="1"/>
    <xf numFmtId="171" fontId="4" fillId="0" borderId="0" xfId="0" applyNumberFormat="1" applyFont="1" applyAlignment="1">
      <alignment horizontal="right"/>
    </xf>
    <xf numFmtId="0" fontId="21" fillId="2" borderId="0" xfId="0" applyFont="1" applyFill="1"/>
    <xf numFmtId="164" fontId="21" fillId="2" borderId="0" xfId="0" applyNumberFormat="1" applyFont="1" applyFill="1"/>
    <xf numFmtId="164" fontId="4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right"/>
    </xf>
    <xf numFmtId="172" fontId="3" fillId="0" borderId="0" xfId="0" applyNumberFormat="1" applyFont="1"/>
    <xf numFmtId="0" fontId="24" fillId="2" borderId="0" xfId="0" applyFont="1" applyFill="1"/>
    <xf numFmtId="0" fontId="3" fillId="4" borderId="0" xfId="0" applyFont="1" applyFill="1"/>
    <xf numFmtId="0" fontId="22" fillId="2" borderId="0" xfId="0" applyFont="1" applyFill="1" applyAlignment="1">
      <alignment horizontal="left"/>
    </xf>
    <xf numFmtId="0" fontId="25" fillId="2" borderId="0" xfId="0" applyFont="1" applyFill="1"/>
    <xf numFmtId="0" fontId="26" fillId="3" borderId="0" xfId="0" applyFont="1" applyFill="1"/>
    <xf numFmtId="0" fontId="27" fillId="3" borderId="0" xfId="0" applyFont="1" applyFill="1"/>
    <xf numFmtId="0" fontId="28" fillId="2" borderId="0" xfId="0" applyFont="1" applyFill="1"/>
    <xf numFmtId="0" fontId="4" fillId="2" borderId="0" xfId="0" applyFont="1" applyFill="1"/>
    <xf numFmtId="0" fontId="29" fillId="2" borderId="0" xfId="0" applyFont="1" applyFill="1"/>
    <xf numFmtId="164" fontId="29" fillId="2" borderId="0" xfId="0" applyNumberFormat="1" applyFont="1" applyFill="1"/>
    <xf numFmtId="0" fontId="1" fillId="0" borderId="0" xfId="0" applyFont="1" applyAlignment="1">
      <alignment horizontal="center"/>
    </xf>
    <xf numFmtId="0" fontId="18" fillId="2" borderId="0" xfId="0" applyFont="1" applyFill="1"/>
    <xf numFmtId="0" fontId="30" fillId="2" borderId="0" xfId="0" applyFont="1" applyFill="1" applyAlignment="1">
      <alignment horizontal="left"/>
    </xf>
    <xf numFmtId="0" fontId="31" fillId="5" borderId="1" xfId="0" applyFont="1" applyFill="1" applyBorder="1"/>
    <xf numFmtId="0" fontId="31" fillId="6" borderId="1" xfId="0" applyFont="1" applyFill="1" applyBorder="1"/>
    <xf numFmtId="0" fontId="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right"/>
    </xf>
    <xf numFmtId="0" fontId="36" fillId="2" borderId="0" xfId="0" applyFont="1" applyFill="1"/>
    <xf numFmtId="0" fontId="36" fillId="2" borderId="0" xfId="0" applyFont="1" applyFill="1" applyAlignment="1">
      <alignment horizontal="right"/>
    </xf>
    <xf numFmtId="170" fontId="1" fillId="0" borderId="0" xfId="0" applyNumberFormat="1" applyFont="1"/>
    <xf numFmtId="0" fontId="37" fillId="2" borderId="0" xfId="0" applyFont="1" applyFill="1"/>
    <xf numFmtId="0" fontId="1" fillId="0" borderId="0" xfId="0" applyFont="1" applyAlignment="1">
      <alignment horizontal="right"/>
    </xf>
    <xf numFmtId="14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0" fontId="38" fillId="2" borderId="0" xfId="0" applyFont="1" applyFill="1" applyAlignment="1">
      <alignment horizontal="left"/>
    </xf>
    <xf numFmtId="0" fontId="39" fillId="2" borderId="0" xfId="0" applyFont="1" applyFill="1" applyAlignment="1">
      <alignment horizontal="left"/>
    </xf>
    <xf numFmtId="0" fontId="3" fillId="7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40" fillId="0" borderId="0" xfId="0" applyFont="1"/>
    <xf numFmtId="169" fontId="12" fillId="0" borderId="0" xfId="0" applyNumberFormat="1" applyFont="1"/>
    <xf numFmtId="179" fontId="3" fillId="0" borderId="0" xfId="0" applyNumberFormat="1" applyFont="1"/>
    <xf numFmtId="0" fontId="41" fillId="8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0" fontId="18" fillId="2" borderId="0" xfId="0" applyNumberFormat="1" applyFont="1" applyFill="1"/>
    <xf numFmtId="0" fontId="42" fillId="2" borderId="0" xfId="0" applyFont="1" applyFill="1" applyAlignment="1">
      <alignment horizontal="left"/>
    </xf>
    <xf numFmtId="0" fontId="43" fillId="2" borderId="0" xfId="0" applyFont="1" applyFill="1"/>
    <xf numFmtId="0" fontId="44" fillId="0" borderId="0" xfId="0" applyFont="1" applyAlignment="1">
      <alignment horizontal="left"/>
    </xf>
    <xf numFmtId="0" fontId="20" fillId="2" borderId="0" xfId="0" applyFont="1" applyFill="1"/>
    <xf numFmtId="0" fontId="45" fillId="2" borderId="0" xfId="0" applyFont="1" applyFill="1" applyAlignment="1">
      <alignment horizontal="left"/>
    </xf>
    <xf numFmtId="0" fontId="22" fillId="2" borderId="0" xfId="0" applyFont="1" applyFill="1"/>
    <xf numFmtId="171" fontId="4" fillId="0" borderId="0" xfId="0" applyNumberFormat="1" applyFont="1"/>
    <xf numFmtId="10" fontId="4" fillId="0" borderId="0" xfId="0" applyNumberFormat="1" applyFont="1"/>
    <xf numFmtId="0" fontId="46" fillId="3" borderId="0" xfId="0" applyFont="1" applyFill="1" applyAlignment="1">
      <alignment horizontal="center"/>
    </xf>
    <xf numFmtId="0" fontId="3" fillId="9" borderId="0" xfId="0" applyFont="1" applyFill="1"/>
    <xf numFmtId="0" fontId="47" fillId="3" borderId="0" xfId="0" applyFont="1" applyFill="1"/>
    <xf numFmtId="0" fontId="33" fillId="7" borderId="0" xfId="0" applyFont="1" applyFill="1" applyAlignment="1">
      <alignment horizontal="center"/>
    </xf>
    <xf numFmtId="0" fontId="48" fillId="0" borderId="0" xfId="0" applyFont="1"/>
    <xf numFmtId="0" fontId="49" fillId="0" borderId="0" xfId="0" applyFont="1" applyAlignment="1">
      <alignment horizontal="center"/>
    </xf>
    <xf numFmtId="0" fontId="50" fillId="2" borderId="0" xfId="0" applyFont="1" applyFill="1"/>
    <xf numFmtId="0" fontId="51" fillId="2" borderId="0" xfId="0" applyFont="1" applyFill="1"/>
    <xf numFmtId="0" fontId="52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139700</xdr:colOff>
      <xdr:row>218</xdr:row>
      <xdr:rowOff>95250</xdr:rowOff>
    </xdr:from>
    <xdr:to>
      <xdr:col>18</xdr:col>
      <xdr:colOff>139700</xdr:colOff>
      <xdr:row>224</xdr:row>
      <xdr:rowOff>38100</xdr:rowOff>
    </xdr:to>
    <xdr:sp macro="" textlink="">
      <xdr:nvSpPr>
        <xdr:cNvPr id="4425" name="Text Box 329" hidden="1">
          <a:extLst>
            <a:ext uri="{FF2B5EF4-FFF2-40B4-BE49-F238E27FC236}">
              <a16:creationId xmlns:a16="http://schemas.microsoft.com/office/drawing/2014/main" id="{B7D4F5D3-9574-3E5F-1948-143D5A40EA04}"/>
            </a:ext>
          </a:extLst>
        </xdr:cNvPr>
        <xdr:cNvSpPr txBox="1">
          <a:spLocks noChangeArrowheads="1"/>
        </xdr:cNvSpPr>
      </xdr:nvSpPr>
      <xdr:spPr bwMode="auto">
        <a:xfrm>
          <a:off x="19170650" y="38030150"/>
          <a:ext cx="20447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</xdr:col>
      <xdr:colOff>139700</xdr:colOff>
      <xdr:row>206</xdr:row>
      <xdr:rowOff>95250</xdr:rowOff>
    </xdr:from>
    <xdr:to>
      <xdr:col>13</xdr:col>
      <xdr:colOff>139700</xdr:colOff>
      <xdr:row>212</xdr:row>
      <xdr:rowOff>38100</xdr:rowOff>
    </xdr:to>
    <xdr:sp macro="" textlink="">
      <xdr:nvSpPr>
        <xdr:cNvPr id="4304" name="Text Box 208" hidden="1">
          <a:extLst>
            <a:ext uri="{FF2B5EF4-FFF2-40B4-BE49-F238E27FC236}">
              <a16:creationId xmlns:a16="http://schemas.microsoft.com/office/drawing/2014/main" id="{B0059231-9903-1869-606C-FB38551743C0}"/>
            </a:ext>
          </a:extLst>
        </xdr:cNvPr>
        <xdr:cNvSpPr txBox="1">
          <a:spLocks noChangeArrowheads="1"/>
        </xdr:cNvSpPr>
      </xdr:nvSpPr>
      <xdr:spPr bwMode="auto">
        <a:xfrm>
          <a:off x="16300450" y="36048950"/>
          <a:ext cx="226695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</xdr:col>
      <xdr:colOff>139700</xdr:colOff>
      <xdr:row>389</xdr:row>
      <xdr:rowOff>95250</xdr:rowOff>
    </xdr:from>
    <xdr:to>
      <xdr:col>13</xdr:col>
      <xdr:colOff>139700</xdr:colOff>
      <xdr:row>395</xdr:row>
      <xdr:rowOff>38100</xdr:rowOff>
    </xdr:to>
    <xdr:sp macro="" textlink="">
      <xdr:nvSpPr>
        <xdr:cNvPr id="4119" name="Text Box 23" hidden="1">
          <a:extLst>
            <a:ext uri="{FF2B5EF4-FFF2-40B4-BE49-F238E27FC236}">
              <a16:creationId xmlns:a16="http://schemas.microsoft.com/office/drawing/2014/main" id="{41149FC0-89D1-CD6E-D99F-C4024E450808}"/>
            </a:ext>
          </a:extLst>
        </xdr:cNvPr>
        <xdr:cNvSpPr txBox="1">
          <a:spLocks noChangeArrowheads="1"/>
        </xdr:cNvSpPr>
      </xdr:nvSpPr>
      <xdr:spPr bwMode="auto">
        <a:xfrm>
          <a:off x="16300450" y="65468500"/>
          <a:ext cx="2266950" cy="895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ónimo" id="{B18C9912-DA46-4948-B7A7-E2DA12F32903}" userId="" providerId="google-sheets"/>
  <person displayName="Dayana Sandrea" id="{26FC32E9-8AAE-4B62-9F11-44D94ADDDBFA}" userId="" providerId="google-sheets"/>
  <person displayName="María Psikoaprende" id="{B1E64079-1830-45C6-8020-D0BBCEBDA07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55" dT="2025-08-11T14:44:18.00" personId="{B1E64079-1830-45C6-8020-D0BBCEBDA075}" id="{4CAC1D47-2CE6-47B5-BA98-6B8AA7AA288F}" done="1">
    <text>Se le ha llamado 11.08 no contesto, le deje whatsaap</text>
  </threadedComment>
  <threadedComment ref="M155" dT="2025-08-11T14:45:02.00" personId="{B1E64079-1830-45C6-8020-D0BBCEBDA075}" id="{FDF9F53E-7CBA-4CE3-8E81-9E2A7FCCDA5A}">
    <text>se le llamo 11.08 no contesto y se le dejo whatsapp</text>
  </threadedComment>
  <threadedComment ref="M157" dT="2025-08-11T16:46:58.00" personId="{B1E64079-1830-45C6-8020-D0BBCEBDA075}" id="{73F10799-8EFE-4170-8AA1-7813F3D88FBA}">
    <text>Se realizo llamada 11.08, no respondió</text>
  </threadedComment>
  <threadedComment ref="M158" dT="2025-08-11T16:48:08.00" personId="{B1E64079-1830-45C6-8020-D0BBCEBDA075}" id="{8FDB9AF7-803B-4FD0-8C88-E26270A20964}">
    <text>Telefono no existe</text>
  </threadedComment>
  <threadedComment ref="J170" dT="2025-08-20T17:41:27.00" personId="{B1E64079-1830-45C6-8020-D0BBCEBDA075}" id="{AE0EEA8E-A33E-449D-A69C-F2A50399F2CC}">
    <text>Se le contacto nuevamente el 20.08 y dice que no esta interesada</text>
  </threadedComment>
  <threadedComment ref="J193" dT="2025-08-08T16:35:17.00" personId="{B1E64079-1830-45C6-8020-D0BBCEBDA075}" id="{8B60C1A1-0965-474A-8737-8E597050C828}">
    <text>En la primera llamada realizada el día 30.07 ella comento que tenia que hablar con su jefe referente al curso , y que se pondría nuevamente en contacto</text>
  </threadedComment>
  <threadedComment ref="N193" dT="2025-08-08T16:36:28.00" personId="{B1E64079-1830-45C6-8020-D0BBCEBDA075}" id="{2331F65B-DFC8-4EF8-AFD9-8EDB5C5844ED}">
    <text>estoy abordando nuevamente el tema con ella fecha 08.08</text>
  </threadedComment>
  <threadedComment ref="I196" dT="2025-08-08T17:01:47.00" personId="{B1E64079-1830-45C6-8020-D0BBCEBDA075}" id="{58133C2F-F707-4187-8C17-B55398705367}">
    <text>El alumno comenta hoy 08.08 que en un mes retoma el tema del curso , queda agendado para volver a contactar</text>
  </threadedComment>
  <threadedComment ref="N196" dT="2025-08-08T16:51:50.00" personId="{B1E64079-1830-45C6-8020-D0BBCEBDA075}" id="{AC7B5101-504A-4914-9649-FE3DCAA9C457}">
    <text>le estoy haciando un segundo seguimiento, el alumno esta un poco indeciso fecha 8.08</text>
  </threadedComment>
  <threadedComment ref="I205" dT="2025-08-08T15:16:15.00" personId="{B1E64079-1830-45C6-8020-D0BBCEBDA075}" id="{BCB9F629-3DE5-4AAD-B638-CC96B7FA14FF}" done="1">
    <text>Pablo puede cancelar el día 13.08 lo agende para ese día llamar</text>
  </threadedComment>
  <threadedComment ref="I206" dT="2025-08-08T15:15:02.00" personId="{B1E64079-1830-45C6-8020-D0BBCEBDA075}" id="{484AC0AC-9B2D-4277-915B-67130D1A7B8F}" done="1">
    <text>Georgina actualmente tiene problemas de salud , en cuanto se recupere vuelve a contactar</text>
  </threadedComment>
  <threadedComment ref="I207" dT="2025-08-08T15:17:44.00" personId="{B1E64079-1830-45C6-8020-D0BBCEBDA075}" id="{60EA3C8A-C8F1-4E51-BF80-F4AF48222D75}" done="1">
    <text>Comento que va a poder pagar el día 14.08 el día 15.08, quedo agendada para llamar esa fecha</text>
  </threadedComment>
  <threadedComment ref="J207" dT="2025-08-08T15:13:02.00" personId="{B1E64079-1830-45C6-8020-D0BBCEBDA075}" id="{351A0C10-3AD4-4B71-8EE1-3D8F7B874C40}" done="1">
    <text>Si contesto comento que va a poder pagar el día 14.08 el día 15.08, quedo agendada para llamar esa fecha</text>
  </threadedComment>
  <threadedComment ref="J211" dT="2025-08-08T15:10:35.00" personId="{B1E64079-1830-45C6-8020-D0BBCEBDA075}" id="{AD895C5F-8E2F-4DE4-A972-3306974379D8}">
    <text>Se le han realizado dos llamadas una el 4.08 y otra el 8.08 sin contestar ambas llamadas</text>
  </threadedComment>
  <threadedComment ref="N211" dT="2025-11-06T18:37:58.00" personId="{26FC32E9-8AAE-4B62-9F11-44D94ADDDBFA}" id="{A10F1092-BD5E-4DEB-A7AB-888EC54B00F3}">
    <text>seguimiento 06/11</text>
  </threadedComment>
  <threadedComment ref="J212" dT="2025-08-15T14:53:19.00" personId="{B1E64079-1830-45C6-8020-D0BBCEBDA075}" id="{6C6F23BA-2FD6-4901-B228-7141BC6A8A4F}">
    <text>Se le llamo 4.08 no atendió porque esta en su trabajo</text>
  </threadedComment>
  <threadedComment ref="N212" dT="2025-08-15T14:52:06.00" personId="{B1E64079-1830-45C6-8020-D0BBCEBDA075}" id="{32B1B2E8-3CF9-473E-94B7-6F3FD662EFC0}">
    <text>Se le hace seguimiento 15.08</text>
  </threadedComment>
  <threadedComment ref="J214" dT="2025-08-08T14:45:15.00" personId="{B1E64079-1830-45C6-8020-D0BBCEBDA075}" id="{DE1606C7-4CA1-453E-B686-83430E5A9D70}">
    <text>Realice llamada el día 4.08 no contesto dijo que estaba en su trabajo. 
Realice segunda llamada 8.08 no se escuchaba bien dijo que por la tormenta, envié whatsapp ofreciendo descuento</text>
  </threadedComment>
  <threadedComment ref="J215" dT="2025-08-08T14:41:51.00" personId="{B1E64079-1830-45C6-8020-D0BBCEBDA075}" id="{3B553F9E-1F9A-466E-92E6-922F26DE046A}">
    <text>Me contesto la llamada dijo que estaba ocupada fecha 7.08 (iba a entrar a terapia) le deje la información al whatsapp</text>
  </threadedComment>
  <threadedComment ref="J216" dT="2025-08-08T14:40:36.00" personId="{B1E64079-1830-45C6-8020-D0BBCEBDA075}" id="{69FAD121-682F-4EBB-A420-10FD49128297}">
    <text>Si me contesto el día 7.08, hablamos y le envíe información adicional por whatsapp</text>
  </threadedComment>
  <threadedComment ref="N218" dT="2025-08-08T14:36:36.00" personId="{B1E64079-1830-45C6-8020-D0BBCEBDA075}" id="{421C6F26-7F03-47DF-B223-E0FA4F881EE0}">
    <text>Le estoy ofreciendo otros cursos por PsikoAprende</text>
  </threadedComment>
  <threadedComment ref="J219" dT="2025-08-08T14:33:23.00" personId="{B1E64079-1830-45C6-8020-D0BBCEBDA075}" id="{62BC8DCA-658E-4887-BAB1-6C63FA50C1E5}">
    <text>La llame fecha: 8.08, pero no pude comunicarme le deje un mensaje</text>
  </threadedComment>
  <threadedComment ref="J224" dT="2025-08-08T14:24:36.00" personId="{B1E64079-1830-45C6-8020-D0BBCEBDA075}" id="{24FD9E4E-00F5-48DB-9819-59EB5B9F3E52}">
    <text>No contesto la llamada que le realice fecha 8.08, sigo con el seguimiento por whatsapp (voice y mensajes)</text>
  </threadedComment>
  <threadedComment ref="N224" dT="2025-08-15T17:32:45.00" personId="{B1E64079-1830-45C6-8020-D0BBCEBDA075}" id="{1AA68B23-534A-42D8-909F-CEAF217CAC35}">
    <text>Se le hizo seguimiento 8.08 lo esta pensando</text>
  </threadedComment>
  <threadedComment ref="Q224" dT="2025-08-15T17:34:14.00" personId="{B1E64079-1830-45C6-8020-D0BBCEBDA075}" id="{D7AD3185-186E-4954-8A01-926D8CFD87AD}">
    <text>Se le hizo seguimiento 12.08 - 13.08 y 15.08</text>
  </threadedComment>
  <threadedComment ref="N225" dT="2025-08-15T17:29:10.00" personId="{B1E64079-1830-45C6-8020-D0BBCEBDA075}" id="{109CFAB2-8826-47B9-9BA2-1FAF7FD1FB40}">
    <text>Se le hizo seguimiento lunes 11.08</text>
  </threadedComment>
  <threadedComment ref="Q225" dT="2025-08-15T17:30:15.00" personId="{B1E64079-1830-45C6-8020-D0BBCEBDA075}" id="{03CEAF01-EFEF-4083-9592-BE2E258B9CDF}">
    <text>Tercer seguimiento 15.08</text>
  </threadedComment>
  <threadedComment ref="J227" dT="2025-08-11T17:03:02.00" personId="{B1E64079-1830-45C6-8020-D0BBCEBDA075}" id="{5A7040C2-A421-44DB-B72D-9FA3E97EBA0D}">
    <text>Se le llamo 11.08, no atendió, se le dejo whatsapp</text>
  </threadedComment>
  <threadedComment ref="L227" dT="2025-08-13T16:29:34.00" personId="{B1E64079-1830-45C6-8020-D0BBCEBDA075}" id="{630DC227-4930-4482-86B2-CBEE18DF3DDA}" done="1">
    <text>Se le llamo nuevamente el 13.08, no contesta</text>
  </threadedComment>
  <threadedComment ref="M227" dT="2025-08-13T16:36:08.00" personId="{B1E64079-1830-45C6-8020-D0BBCEBDA075}" id="{BB4BF76B-21B8-4465-AAB8-FD3B66D27E67}">
    <text>Se le llamo nuevamente 13.08 sin respuesta</text>
  </threadedComment>
  <threadedComment ref="Q227" dT="2025-11-06T18:38:46.00" personId="{26FC32E9-8AAE-4B62-9F11-44D94ADDDBFA}" id="{FED38AFE-3789-4594-BE37-461162ED0336}">
    <text>Seguimiento 06/11</text>
  </threadedComment>
  <threadedComment ref="J229" dT="2025-08-11T10:03:50.00" personId="{B1E64079-1830-45C6-8020-D0BBCEBDA075}" id="{E3E97724-B7FB-444E-BD05-828A70E3F205}">
    <text>primera llamada el 11.08, sin responder le deje whatsapp</text>
  </threadedComment>
  <threadedComment ref="M229" dT="2025-08-13T16:40:33.00" personId="{B1E64079-1830-45C6-8020-D0BBCEBDA075}" id="{B7A87735-7E11-4D7E-BE32-3ACBB44848F6}">
    <text>Se le llamo nuevamente, sin contestar</text>
  </threadedComment>
  <threadedComment ref="I232" dT="2025-08-13T15:54:44.00" personId="{B1E64079-1830-45C6-8020-D0BBCEBDA075}" id="{A80213B3-02BF-4981-8816-53FD10214CE3}">
    <text>Ella comenta que si esta interesada pero que aun no lo podrá tomar, se lo ofreció beca adicional, sin respuesta el día 12.08</text>
  </threadedComment>
  <threadedComment ref="J233" dT="2025-08-12T10:56:48.00" personId="{B1E64079-1830-45C6-8020-D0BBCEBDA075}" id="{D473CE40-C1D1-4228-B044-35F606155D2C}" done="1">
    <text>Se le realizo primera llamada fecha 12.08, respondió y colgó</text>
  </threadedComment>
  <threadedComment ref="L233" dT="2025-08-13T16:25:07.00" personId="{B1E64079-1830-45C6-8020-D0BBCEBDA075}" id="{A9C2777E-CA89-4355-AD8D-10C642190CC5}" done="1">
    <text>Se le llamo 13.08, sin contestar (el teléfono ni repica )</text>
  </threadedComment>
  <threadedComment ref="M233" dT="2025-08-13T16:36:48.00" personId="{B1E64079-1830-45C6-8020-D0BBCEBDA075}" id="{C1E907E5-4E7D-48CC-8907-D22CC73AE657}">
    <text>Se le llamo 13.08, sin contestar (el teléfono ni repica )</text>
  </threadedComment>
  <threadedComment ref="J234" dT="2025-08-12T10:57:17.00" personId="{B1E64079-1830-45C6-8020-D0BBCEBDA075}" id="{4C8268F1-0726-434C-9180-9AE9CBA06A9A}">
    <text>Se le realizo primera llamada 12.08, respondió y colgó, se le dejo mensaje</text>
  </threadedComment>
  <threadedComment ref="L234" dT="2025-08-13T16:20:14.00" personId="{B1E64079-1830-45C6-8020-D0BBCEBDA075}" id="{853CB86F-EF09-4520-B25B-B85BF2EBF84F}" done="1">
    <text>Se le llamo nuevamente 13.08 ya que no ha dado respuesta, pero la persona no responde</text>
  </threadedComment>
  <threadedComment ref="M234" dT="2025-08-13T16:37:15.00" personId="{B1E64079-1830-45C6-8020-D0BBCEBDA075}" id="{6E2DF324-CA1C-4553-BCF9-8565EAA4C441}">
    <text>Se le llamo nuevamente 13.08 ya que no ha dado respuesta, pero la persona no responde</text>
  </threadedComment>
  <threadedComment ref="N235" dT="2025-08-14T17:08:16.00" personId="{B1E64079-1830-45C6-8020-D0BBCEBDA075}" id="{820430E4-E45E-4BA1-A98E-5EF0A0D60C5C}">
    <text>Segundo seguimiento 14.08</text>
  </threadedComment>
  <threadedComment ref="J236" dT="2025-08-12T13:59:50.00" personId="{B1E64079-1830-45C6-8020-D0BBCEBDA075}" id="{BE0BED7B-0085-47A5-ADC8-CF54820F167C}">
    <text>Se realizo la primera llamada fecha 12.08 sin responder (me comenta por whatsapp que no puede atender llamadas)</text>
  </threadedComment>
  <threadedComment ref="N236" dT="2025-08-14T17:09:07.00" personId="{B1E64079-1830-45C6-8020-D0BBCEBDA075}" id="{0CD7EEB9-B6DE-478D-8D08-4F087B590E48}">
    <text>Segundo seguimiento 14.08, me comenta que esta esperando autorización y me avisa</text>
  </threadedComment>
  <threadedComment ref="M240" dT="2025-08-15T14:47:05.00" personId="{B1E64079-1830-45C6-8020-D0BBCEBDA075}" id="{ECF6B2A6-9C43-40B3-BAE2-859F6629F61A}">
    <text>Se le llamo 15.08 sin responder</text>
  </threadedComment>
  <threadedComment ref="J241" dT="2025-08-14T11:07:25.00" personId="{B1E64079-1830-45C6-8020-D0BBCEBDA075}" id="{26679580-96A9-4AE4-808E-50781CEEE97D}">
    <text>Se le llamo 14.08, sin responde</text>
  </threadedComment>
  <threadedComment ref="J243" dT="2025-08-14T11:21:20.00" personId="{B1E64079-1830-45C6-8020-D0BBCEBDA075}" id="{E3B9A0EB-AD99-4CC7-9C5F-80A5432520DD}">
    <text>Se le realizo llamada 14.08 pero esta apagado o fuera de cobertura</text>
  </threadedComment>
  <threadedComment ref="I244" dT="2025-08-14T14:02:58.00" personId="{B1E64079-1830-45C6-8020-D0BBCEBDA075}" id="{4EA2E119-D9EE-474F-A7A1-918E6808BBD7}">
    <text>Quedamos pendiente por el pago para el dia 22.08</text>
  </threadedComment>
  <threadedComment ref="K245" dT="2025-08-18T13:56:03.00" personId="{B1E64079-1830-45C6-8020-D0BBCEBDA075}" id="{765707BA-CB7B-469B-BFCF-65B6A43FC4BD}">
    <text>Es una persona complicada quiere información exacta de los docentes , le deje un mensaje de voz el día viernes 15.08 y no lo respondió</text>
  </threadedComment>
  <threadedComment ref="J250" dT="2025-08-18T16:23:52.00" personId="{B1E64079-1830-45C6-8020-D0BBCEBDA075}" id="{27628609-9C7E-459D-B8A5-117AE7592D28}">
    <text>Se le llamo 18-08, sin contestar</text>
  </threadedComment>
  <threadedComment ref="J251" dT="2025-08-19T11:17:54.00" personId="{B1E64079-1830-45C6-8020-D0BBCEBDA075}" id="{C02F515E-A3FC-4E3E-AEBC-8FCE3C3873F4}">
    <text>Se le realizo la primera llamada 19.08 como segundo seguimiento, sin responder</text>
  </threadedComment>
  <threadedComment ref="J253" dT="2025-08-19T16:57:06.00" personId="{B1E64079-1830-45C6-8020-D0BBCEBDA075}" id="{8B608F52-81E3-43F9-86BD-77A8A5A08691}">
    <text>Se le llamo 19-08 comenta que esta saliendo de viaje, que la contacte la próxima semana</text>
  </threadedComment>
  <threadedComment ref="I254" dT="2025-08-20T14:20:19.00" personId="{B1E64079-1830-45C6-8020-D0BBCEBDA075}" id="{114D78A9-A2B2-46D7-9F80-E37B02031E8A}">
    <text>Ella comenta que no lo quiere hacer aun porque esta haciendo otros cursos, y quiere terminar los otros cursos primero, ultimo contacto con ella 19.08</text>
  </threadedComment>
  <threadedComment ref="J255" dT="2025-08-19T16:04:22.00" personId="{B1E64079-1830-45C6-8020-D0BBCEBDA075}" id="{4CFC7D89-B7DA-4197-943B-8697AAB5200F}">
    <text>llame el 19.08 a las 18 en españa, sin responder</text>
  </threadedComment>
  <threadedComment ref="J256" dT="2025-08-19T11:03:49.00" personId="{B1E64079-1830-45C6-8020-D0BBCEBDA075}" id="{8D92DCB0-6602-4FF4-B49F-EF2435F76996}">
    <text>Se le ha llamado fecha 19.08 envía a buzón</text>
  </threadedComment>
  <threadedComment ref="M256" dT="2025-08-20T17:07:35.00" personId="{B1E64079-1830-45C6-8020-D0BBCEBDA075}" id="{956C56C0-461B-47AA-B858-FFE000B47B26}">
    <text>Segunda llamada hoy 20.08 sin contestar</text>
  </threadedComment>
  <threadedComment ref="N256" dT="2025-11-06T12:08:07.00" personId="{26FC32E9-8AAE-4B62-9F11-44D94ADDDBFA}" id="{B7687521-3038-4F97-A11B-94AB6F3AF8B8}">
    <text>seguimiento 06.11</text>
  </threadedComment>
  <threadedComment ref="J257" dT="2025-08-20T11:26:19.00" personId="{B1E64079-1830-45C6-8020-D0BBCEBDA075}" id="{1D31AB69-ABF0-445F-AD3E-45D513D63444}">
    <text>Se le llamo 20.08, sin responder</text>
  </threadedComment>
  <threadedComment ref="J258" dT="2025-08-19T16:48:09.00" personId="{B1E64079-1830-45C6-8020-D0BBCEBDA075}" id="{53D6F8CC-8A11-439E-AF2D-6741F1CD3F3A}">
    <text>Queda pendiente realizar el primer pago el día viernes 22 de agosto</text>
  </threadedComment>
  <threadedComment ref="J259" dT="2025-08-20T15:13:03.00" personId="{B1E64079-1830-45C6-8020-D0BBCEBDA075}" id="{3FFC4DB9-F919-4B2D-953C-59E296494F38}">
    <text>Se le llamo 20.08 pero no atendió</text>
  </threadedComment>
  <threadedComment ref="J260" dT="2025-08-20T17:01:19.00" personId="{B1E64079-1830-45C6-8020-D0BBCEBDA075}" id="{7098FDB5-BA9C-4871-B6B3-1ADB2D9A95C2}">
    <text>la he llamado 20.08 sin responder</text>
  </threadedComment>
  <threadedComment ref="J261" dT="2025-08-20T10:19:46.00" personId="{B1E64079-1830-45C6-8020-D0BBCEBDA075}" id="{3A80A785-31A4-4F70-ADAA-087256C25F26}">
    <text>Se le llamo 20.08 comenta que está en un reunión</text>
  </threadedComment>
  <threadedComment ref="N261" dT="2025-11-06T12:09:16.00" personId="{26FC32E9-8AAE-4B62-9F11-44D94ADDDBFA}" id="{2148113A-393D-43A3-B639-4A0C877C3612}">
    <text>Seguimiento. 06/11</text>
  </threadedComment>
  <threadedComment ref="N262" dT="2025-08-25T15:12:22.00" personId="{B1E64079-1830-45C6-8020-D0BBCEBDA075}" id="{ED8D4A27-6C01-40CC-B0EB-1EB2B1E3FE1D}">
    <text>Se le esta haciendo nuevo seguimiento 25.08</text>
  </threadedComment>
  <threadedComment ref="J263" dT="2025-08-20T14:43:10.00" personId="{B1E64079-1830-45C6-8020-D0BBCEBDA075}" id="{418939E2-853F-42C1-847C-158B74D854EA}">
    <text>Se le llamo 20.08, sin responder</text>
  </threadedComment>
  <threadedComment ref="N264" dT="2025-08-25T15:14:50.00" personId="{B1E64079-1830-45C6-8020-D0BBCEBDA075}" id="{9A6B0C7A-15C3-4418-A95C-670071E39921}">
    <text>Se le esta haciendo nuevamente seguimiento 25.08</text>
  </threadedComment>
  <threadedComment ref="J265" dT="2025-08-25T15:18:12.00" personId="{B1E64079-1830-45C6-8020-D0BBCEBDA075}" id="{171945C6-0F6C-4718-9EC4-A264353783DF}">
    <text>Se le llamo el 22.08, sin responder</text>
  </threadedComment>
  <threadedComment ref="N266" dT="2025-08-25T15:21:43.00" personId="{B1E64079-1830-45C6-8020-D0BBCEBDA075}" id="{BF44A8F9-2E29-4DCB-985B-2A83D4E3A9C3}">
    <text>se le hace seguimiento nuevamente 25.08</text>
  </threadedComment>
  <threadedComment ref="K267" dT="2025-08-25T15:23:46.00" personId="{B1E64079-1830-45C6-8020-D0BBCEBDA075}" id="{76578872-8B56-4037-84D9-27B374AE6AF9}">
    <text>Se le dejo mensaje con la presentación del curso 22.08, sin responder</text>
  </threadedComment>
  <threadedComment ref="L267" dT="2025-08-22T10:09:40.00" personId="{B1E64079-1830-45C6-8020-D0BBCEBDA075}" id="{7945C7C1-409A-47BC-B49D-2FEED6E88BEE}">
    <text>Le envié un correo ya que el número que coloco dice que no existe cuando trato de llamar</text>
  </threadedComment>
  <threadedComment ref="J270" dT="2025-08-22T13:56:30.00" personId="{B1E64079-1830-45C6-8020-D0BBCEBDA075}" id="{70727C79-B2D8-4D47-A160-234F19B7EE42}">
    <text>Se le llamo 22.08n sin responder</text>
  </threadedComment>
  <threadedComment ref="N273" dT="2025-08-26T10:46:55.00" personId="{B1E64079-1830-45C6-8020-D0BBCEBDA075}" id="{3E556CED-88BF-44A0-AC1A-3671FB041C77}">
    <text>Segundo seguimiento 26.08</text>
  </threadedComment>
  <threadedComment ref="Q273" dT="2025-08-29T11:33:51.00" personId="{B1E64079-1830-45C6-8020-D0BBCEBDA075}" id="{FC2EAC7C-2E4A-4C5F-98D4-C851C66B8775}">
    <text>Se le escribió nuevamente el 28.08 (nunca ha dado
respuesta)</text>
  </threadedComment>
  <threadedComment ref="I274" dT="2025-08-29T11:30:48.00" personId="{B1E64079-1830-45C6-8020-D0BBCEBDA075}" id="{E68B11DC-1A60-4372-921B-B4C4222E5C0F}">
    <text>Ella quiere que sean mas horas de videos</text>
  </threadedComment>
  <threadedComment ref="J274" dT="2025-08-25T11:57:48.00" personId="{B1E64079-1830-45C6-8020-D0BBCEBDA075}" id="{A82BD22C-5DF4-4D0A-A4F8-484D6682449F}">
    <text>La llame 25.08, sin responder</text>
  </threadedComment>
  <threadedComment ref="N274" dT="2025-08-26T10:46:32.00" personId="{B1E64079-1830-45C6-8020-D0BBCEBDA075}" id="{1C48ACED-84A0-4DF3-B9C9-03D46D23C4F4}">
    <text>Segundo seguimiento 26.08</text>
  </threadedComment>
  <threadedComment ref="J275" dT="2025-08-25T11:06:03.00" personId="{B1E64079-1830-45C6-8020-D0BBCEBDA075}" id="{9A896CC6-9D98-4112-9636-A0E317E4C9B6}">
    <text>Se le llamo 25.08, sin responder</text>
  </threadedComment>
  <threadedComment ref="N276" dT="2025-08-27T14:00:11.00" personId="{B1E64079-1830-45C6-8020-D0BBCEBDA075}" id="{0BF3338A-E7C8-4FB9-AA8B-75B694B7DBBB}">
    <text>Segundo seguimiento 27.08</text>
  </threadedComment>
  <threadedComment ref="N278" dT="2025-08-28T17:10:17.00" personId="{B1E64079-1830-45C6-8020-D0BBCEBDA075}" id="{284F589D-2AAF-45DA-AE6D-89AAED96A6AE}">
    <text>Segundo seguimiento 28.08</text>
  </threadedComment>
  <threadedComment ref="N279" dT="2025-08-28T17:10:24.00" personId="{B1E64079-1830-45C6-8020-D0BBCEBDA075}" id="{D86D4FC8-E2B4-4B78-8892-23D8A86C86C4}">
    <text>Segundo seguimiento 28.08</text>
  </threadedComment>
  <threadedComment ref="N280" dT="2025-08-29T11:24:29.00" personId="{B1E64079-1830-45C6-8020-D0BBCEBDA075}" id="{3B12EB46-0B8F-485E-9C9F-E4706F678F6A}">
    <text>Segundo seguimiento 29.08</text>
  </threadedComment>
  <threadedComment ref="J282" dT="2025-08-28T11:26:00.00" personId="{B1E64079-1830-45C6-8020-D0BBCEBDA075}" id="{743ED1BF-63A2-4213-917D-ED89C18D774C}">
    <text>Hablamos bastante bien por teléfono</text>
  </threadedComment>
  <threadedComment ref="N283" dT="2025-08-29T11:58:07.00" personId="{B1E64079-1830-45C6-8020-D0BBCEBDA075}" id="{5E66FAA1-A805-4E58-84C8-718785ED1D71}">
    <text>Segundo seguimiento 29.08</text>
  </threadedComment>
  <threadedComment ref="N284" dT="2025-08-29T18:00:49.00" personId="{B1E64079-1830-45C6-8020-D0BBCEBDA075}" id="{E4DD7A49-E18B-4517-B9AE-32672D3B3D6C}">
    <text>Segundo seguimiento 29.08</text>
  </threadedComment>
  <threadedComment ref="K285" dT="2025-09-02T18:11:27.00" personId="{B1E64079-1830-45C6-8020-D0BBCEBDA075}" id="{7B1B3527-4B4F-4394-BF97-4424741B2847}">
    <text>Estamos conversando desde el teléfono de la hija</text>
  </threadedComment>
  <threadedComment ref="J286" dT="2025-09-01T10:50:17.00" personId="{B1E64079-1830-45C6-8020-D0BBCEBDA075}" id="{BA4095B3-6574-4371-A254-BDC431DE28AD}">
    <text>Conversamos por teléfono, todo bien</text>
  </threadedComment>
  <threadedComment ref="I288" dT="2025-09-01T11:45:59.00" personId="{B1E64079-1830-45C6-8020-D0BBCEBDA075}" id="{34CC8325-EACB-463B-97DF-8434E7D07E20}" done="1">
    <text>Ella comenta que se matricula el viernes 5.09</text>
  </threadedComment>
  <threadedComment ref="I291" dT="2025-09-01T11:36:55.00" personId="{B1E64079-1830-45C6-8020-D0BBCEBDA075}" id="{EAABB69C-0AF6-4340-BF20-95FDF4D9E795}">
    <text>Ella comenta que paga el miércoles 3.09</text>
  </threadedComment>
  <threadedComment ref="N292" dT="2025-09-10T10:34:23.00" personId="{B1E64079-1830-45C6-8020-D0BBCEBDA075}" id="{5FA24DC5-6581-42D9-B417-0FDA8E0E9CF2}">
    <text>Se le realizo segundo seguimiento el 3.09, no dio respuesta</text>
  </threadedComment>
  <threadedComment ref="L293" dT="2025-09-02T11:31:37.00" personId="{B1E64079-1830-45C6-8020-D0BBCEBDA075}" id="{4D2C3CB6-0E12-422E-AF74-74BA97078A45}">
    <text>Se le envía correo ya que el número de teléfono no existe</text>
  </threadedComment>
  <threadedComment ref="N294" dT="2025-09-10T10:36:05.00" personId="{B1E64079-1830-45C6-8020-D0BBCEBDA075}" id="{F3C9C2BC-A7D3-48A0-9920-328E0C81A6D8}">
    <text>Se realizo segundo seguimiento el 04.09, no dio respuesta</text>
  </threadedComment>
  <threadedComment ref="N295" dT="2025-09-02T16:20:33.00" personId="{B1E64079-1830-45C6-8020-D0BBCEBDA075}" id="{CDEF4103-87D6-412D-9C28-4F2A21F5F728}">
    <text>Segundo seguimiento 2.09</text>
  </threadedComment>
  <threadedComment ref="L296" dT="2025-09-10T10:37:42.00" personId="{B1E64079-1830-45C6-8020-D0BBCEBDA075}" id="{0BCCF23F-C47D-4A04-A7A5-0EBC2935060A}">
    <text>Se le envío toda la información por correo así como el lo solicito</text>
  </threadedComment>
  <threadedComment ref="N296" dT="2025-09-09T16:42:56.00" personId="{B1E64079-1830-45C6-8020-D0BBCEBDA075}" id="{52C712DC-53CC-456B-B543-503D0472FCC8}">
    <text>Segundo seguimiento 9.09</text>
  </threadedComment>
  <threadedComment ref="N297" dT="2025-09-10T10:38:52.00" personId="{B1E64079-1830-45C6-8020-D0BBCEBDA075}" id="{B3C69976-FC08-430D-BE09-9FEF737890A1}">
    <text>Segundo seguimiento el 02.09, no dio respuesta</text>
  </threadedComment>
  <threadedComment ref="N299" dT="2025-09-18T16:27:44.00" personId="{B1E64079-1830-45C6-8020-D0BBCEBDA075}" id="{14AD2872-F28A-4966-844F-BEC741E91A65}">
    <text>Hacemos seguimiento nuevamente el día 18.09</text>
  </threadedComment>
  <threadedComment ref="L300" dT="2025-09-02T15:52:55.00" personId="{B1E64079-1830-45C6-8020-D0BBCEBDA075}" id="{B1CFF03D-B496-4887-ACF9-FF599A12C8EB}">
    <text>Seguimiento por correo, ya que no ha proporcionado su número, (se lo pedí, sin embargo no lo ha proporcionado )</text>
  </threadedComment>
  <threadedComment ref="L301" dT="2025-09-02T16:05:53.00" personId="{B1E64079-1830-45C6-8020-D0BBCEBDA075}" id="{FBCEE2D7-6501-401B-B259-53E56E423A3E}">
    <text>Seguimiento por correo, no ha proporcionado su número</text>
  </threadedComment>
  <threadedComment ref="I302" dT="2025-09-10T10:45:09.00" personId="{B1E64079-1830-45C6-8020-D0BBCEBDA075}" id="{523DF8F2-5BF3-49B8-9EEE-96E2E4757395}">
    <text>Comenta que es costoso, le hice descuentos, pero no dio respuesta</text>
  </threadedComment>
  <threadedComment ref="L302" dT="2025-09-02T12:03:32.00" personId="{B1E64079-1830-45C6-8020-D0BBCEBDA075}" id="{AFC60579-BB0F-4B7B-BB26-DDC8B1EBA7F9}">
    <text>Le envíe correo ya que el número de teléfono esta mal</text>
  </threadedComment>
  <threadedComment ref="J303" dT="2025-09-02T10:07:26.00" personId="{B1E64079-1830-45C6-8020-D0BBCEBDA075}" id="{0876E4C2-DE5F-41FE-9F44-B2E301E99BBC}">
    <text>La llame pero no dio respuesta</text>
  </threadedComment>
  <threadedComment ref="N303" dT="2025-10-09T10:05:08.00" personId="{B1E64079-1830-45C6-8020-D0BBCEBDA075}" id="{DD3F58D6-6370-4516-889B-C67F28AA4D60}">
    <text>Se le hizo tercer seguimiento el 18.09</text>
  </threadedComment>
  <threadedComment ref="J305" dT="2025-09-04T11:25:24.00" personId="{B1E64079-1830-45C6-8020-D0BBCEBDA075}" id="{33D57C8A-E661-4568-9C86-7E55A0BD07A0}">
    <text>Le realice una llamada 4.09 y despejamos todas las dudas</text>
  </threadedComment>
  <threadedComment ref="N305" dT="2025-09-10T10:52:26.00" personId="{B1E64079-1830-45C6-8020-D0BBCEBDA075}" id="{E2F804FF-9D03-472C-8AA8-7B51666F2AF5}">
    <text>Nuevo seguimiento 09.09</text>
  </threadedComment>
  <threadedComment ref="L306" dT="2025-09-04T15:52:13.00" personId="{B1E64079-1830-45C6-8020-D0BBCEBDA075}" id="{34B1DE73-BBA8-46A0-A75F-F85994EF0E5F}">
    <text>Se le envió información al correo ( por petición de la alumna)</text>
  </threadedComment>
  <threadedComment ref="N307" dT="2025-09-10T10:56:35.00" personId="{B1E64079-1830-45C6-8020-D0BBCEBDA075}" id="{076D87F0-A0D2-43D3-A4C3-A5E2CA6B1749}">
    <text>Se le hizo seguimiento nuevamente 09.09, sin respuesta</text>
  </threadedComment>
  <threadedComment ref="N308" dT="2025-10-09T11:45:32.00" personId="{B1E64079-1830-45C6-8020-D0BBCEBDA075}" id="{9189343B-51E5-4802-B997-A6AD5B1808ED}">
    <text>Se le hace nuevamente seguimiento 9.10</text>
  </threadedComment>
  <threadedComment ref="N309" dT="2025-10-09T11:59:41.00" personId="{B1E64079-1830-45C6-8020-D0BBCEBDA075}" id="{1A281496-A32D-4BAE-BB50-F7E0AFABBAC0}">
    <text>Nuevamente se le hace seguimiento 9.10</text>
  </threadedComment>
  <threadedComment ref="J310" dT="2025-09-05T10:48:34.00" personId="{B1E64079-1830-45C6-8020-D0BBCEBDA075}" id="{D23BCC66-26D1-45BB-B527-B279E79F2C84}">
    <text>se le llamo 5.09. En el momento que la llame me dijo que estaba ocupada</text>
  </threadedComment>
  <threadedComment ref="L311" dT="2025-09-05T10:25:30.00" personId="{B1E64079-1830-45C6-8020-D0BBCEBDA075}" id="{2E588F4C-9857-4A4B-B4CF-ECD00C700344}">
    <text>Seguimiento por correo, ya que no coloco su número</text>
  </threadedComment>
  <threadedComment ref="J312" dT="2025-09-05T16:23:33.00" personId="{B1E64079-1830-45C6-8020-D0BBCEBDA075}" id="{60B6FF30-7806-4462-94F2-23F092EA0CF0}">
    <text>Le hice llamada 5.09, no dio respuesta</text>
  </threadedComment>
  <threadedComment ref="N312" dT="2025-09-18T17:44:36.00" personId="{B1E64079-1830-45C6-8020-D0BBCEBDA075}" id="{9468926E-8360-4A16-9C4A-9D580F63A91D}">
    <text>Nuevamente seguimiento 18.09</text>
  </threadedComment>
  <threadedComment ref="J314" dT="2025-09-08T11:55:58.00" personId="{B1E64079-1830-45C6-8020-D0BBCEBDA075}" id="{DB8118B1-4E53-40E4-98F0-102DDCBE1F49}">
    <text>Se le llamo 08.09 sin respuesta</text>
  </threadedComment>
  <threadedComment ref="N316" dT="2025-09-10T14:24:31.00" personId="{B1E64079-1830-45C6-8020-D0BBCEBDA075}" id="{14A27F9E-E9B8-40B9-B5EA-69FCFB6AC467}">
    <text>Segundo seguimiento 09.09</text>
  </threadedComment>
  <threadedComment ref="N317" dT="2025-11-06T12:28:47.00" personId="{26FC32E9-8AAE-4B62-9F11-44D94ADDDBFA}" id="{A0C7737C-9816-42B8-A516-C5A6F7604DE6}">
    <text>Seguimiento el 06/11</text>
  </threadedComment>
  <threadedComment ref="L320" dT="2025-09-08T13:08:24.00" personId="{B1E64079-1830-45C6-8020-D0BBCEBDA075}" id="{FD14DE8D-E611-4BF7-BFB5-D80BE070B768}">
    <text>Seguimiento por correo ya que no pude dar con el número</text>
  </threadedComment>
  <threadedComment ref="I322" dT="2025-09-09T18:05:42.00" personId="{B1E64079-1830-45C6-8020-D0BBCEBDA075}" id="{41743835-B267-4F46-A88A-10894BCD0638}">
    <text>El número no existe</text>
  </threadedComment>
  <threadedComment ref="L323" dT="2025-09-09T11:57:22.00" personId="{B1E64079-1830-45C6-8020-D0BBCEBDA075}" id="{DAE3877E-0263-481D-92D9-578E23AEC414}">
    <text>Seguimiento por correo, ya que no he dado con su número</text>
  </threadedComment>
  <threadedComment ref="N324" dT="2025-09-10T14:15:17.00" personId="{B1E64079-1830-45C6-8020-D0BBCEBDA075}" id="{831ACE24-2A26-4205-A286-4939D1DE329C}">
    <text>Segundo seguimiento 10.09</text>
  </threadedComment>
  <threadedComment ref="N328" dT="2025-11-06T12:29:47.00" personId="{26FC32E9-8AAE-4B62-9F11-44D94ADDDBFA}" id="{57B0A0CF-7C53-4E60-B05C-E94E850779AC}">
    <text>Seguimiento 06/11</text>
  </threadedComment>
  <threadedComment ref="J329" dT="2025-09-11T12:01:33.00" personId="{B1E64079-1830-45C6-8020-D0BBCEBDA075}" id="{EA4F7F24-0424-4815-A340-BAF9CC2B92DC}">
    <text>Hablamos por teléfono y despejamos dudas</text>
  </threadedComment>
  <threadedComment ref="J330" dT="2025-12-12T11:26:20.00" personId="{B18C9912-DA46-4948-B7A7-E2DA12F32903}" id="{60A685B7-D70A-48FC-B0A4-E391B172FD15}">
    <text>Llame el 12/12. sin respuesta</text>
  </threadedComment>
  <threadedComment ref="N330" dT="2025-09-19T12:08:51.00" personId="{B1E64079-1830-45C6-8020-D0BBCEBDA075}" id="{6797A107-19AF-41B4-B0E9-14AA345DF035}">
    <text>Hacemos seguimiento nuevamente 19.09</text>
  </threadedComment>
  <threadedComment ref="I334" dT="2025-09-19T12:14:40.00" personId="{B1E64079-1830-45C6-8020-D0BBCEBDA075}" id="{7155E15E-58E0-4371-AD96-38FF09B95B24}">
    <text>Dice que se quiere matricular en Enero</text>
  </threadedComment>
  <threadedComment ref="N335" dT="2025-09-19T12:15:42.00" personId="{B1E64079-1830-45C6-8020-D0BBCEBDA075}" id="{6AC27252-1A1C-477D-8B01-A720E8054C7C}">
    <text>Esta evaluando si su empresa le paga el 75%</text>
  </threadedComment>
  <threadedComment ref="N339" dT="2025-11-06T12:34:08.00" personId="{26FC32E9-8AAE-4B62-9F11-44D94ADDDBFA}" id="{F34010B1-5883-4DAF-85FF-26A84F9DCF67}">
    <text>Seguimiento 06/11</text>
  </threadedComment>
  <threadedComment ref="J342" dT="2025-09-15T15:21:29.00" personId="{B1E64079-1830-45C6-8020-D0BBCEBDA075}" id="{94492E0E-340A-4E79-A8BF-C828957F0CF3}">
    <text>Se le llamo 15.09, sin contestar</text>
  </threadedComment>
  <threadedComment ref="J344" dT="2025-09-15T15:19:24.00" personId="{B1E64079-1830-45C6-8020-D0BBCEBDA075}" id="{5F1C12F4-A396-42AF-9778-AC1A13367E3D}">
    <text>Se le llamo 15.09, sin contestar</text>
  </threadedComment>
  <threadedComment ref="I350" dT="2025-09-15T16:39:22.00" personId="{B1E64079-1830-45C6-8020-D0BBCEBDA075}" id="{4C1BB10B-A4A7-4035-916B-D25D130D19BF}">
    <text>Dice que es muy costoso y se le ofrece hasta el 50%</text>
  </threadedComment>
  <threadedComment ref="J355" dT="2025-09-16T10:19:46.00" personId="{B1E64079-1830-45C6-8020-D0BBCEBDA075}" id="{3F92862A-52AC-4688-A7C9-850A4E27A187}">
    <text>Se le llamo 16.09n sin respuesta</text>
  </threadedComment>
  <threadedComment ref="L355" dT="2025-09-16T10:20:32.00" personId="{B1E64079-1830-45C6-8020-D0BBCEBDA075}" id="{3D59831E-58EF-4722-BAF6-7A23E6E8A9A0}">
    <text>Se responde al correo ya que el numero de teléfono no tiene whatsapp</text>
  </threadedComment>
  <threadedComment ref="J357" dT="2025-09-16T13:27:23.00" personId="{B1E64079-1830-45C6-8020-D0BBCEBDA075}" id="{1A69F08F-DE1B-403A-A66B-F9FDE93A9705}">
    <text>Se llamo 16.09, sin respuesta</text>
  </threadedComment>
  <threadedComment ref="N365" dT="2025-11-06T12:39:44.00" personId="{26FC32E9-8AAE-4B62-9F11-44D94ADDDBFA}" id="{BEAA90A7-3E67-4948-98C5-BDEA6BE52D96}">
    <text>seguimiento 06/11</text>
  </threadedComment>
  <threadedComment ref="I367" dT="2025-09-19T09:55:06.00" personId="{B1E64079-1830-45C6-8020-D0BBCEBDA075}" id="{2EB65C3F-2896-47C4-8468-62AC3DE047A9}">
    <text>Se esta atendiendo desde el 12 de agosto</text>
  </threadedComment>
  <threadedComment ref="K368" dT="2025-09-19T13:19:50.00" personId="{B1E64079-1830-45C6-8020-D0BBCEBDA075}" id="{EB31F0C5-CD6A-45E6-99C7-A428B2A8824C}">
    <text>Le envié el enlace de Cetlat</text>
  </threadedComment>
  <threadedComment ref="N369" dT="2025-09-24T13:17:14.00" personId="{B1E64079-1830-45C6-8020-D0BBCEBDA075}" id="{2B17F158-9BD2-43E7-A0C7-CF66D9E10234}">
    <text>El día 24.09 Carlos le ha enviado la propuesta de Cetlat, sin responder por parte de ella</text>
  </threadedComment>
  <threadedComment ref="N372" dT="2025-09-25T13:51:30.00" personId="{B1E64079-1830-45C6-8020-D0BBCEBDA075}" id="{2AC45317-4AA6-40E1-824E-E160D59562E0}">
    <text>Segundo seguimiento 24.09</text>
  </threadedComment>
  <threadedComment ref="N373" dT="2025-09-25T15:37:50.00" personId="{B1E64079-1830-45C6-8020-D0BBCEBDA075}" id="{C2E2D256-B1E5-451D-B188-960886157E49}">
    <text>Hacemos seguimiento nuevamente 25.09</text>
  </threadedComment>
  <threadedComment ref="N375" dT="2025-09-25T15:30:19.00" personId="{B1E64079-1830-45C6-8020-D0BBCEBDA075}" id="{C214C2C8-58E3-41CE-A679-99D3EEEB737D}">
    <text>Hacemos nuevamente seguimiento 25.09</text>
  </threadedComment>
  <threadedComment ref="K376" dT="2025-09-23T13:25:56.00" personId="{B1E64079-1830-45C6-8020-D0BBCEBDA075}" id="{93A1B617-BA4F-4399-9C24-82BF5EADCBEA}">
    <text>El esta enviando solicitud por Cetlat</text>
  </threadedComment>
  <threadedComment ref="N376" dT="2025-09-25T15:25:07.00" personId="{B1E64079-1830-45C6-8020-D0BBCEBDA075}" id="{4CEAF30A-9EC1-4B9F-90F1-4FF28A360D96}">
    <text>Se le hace seguimiento 24.09 esta pendiente por enviar documentos de CETLAT</text>
  </threadedComment>
  <threadedComment ref="J377" dT="2025-09-25T15:23:50.00" personId="{B1E64079-1830-45C6-8020-D0BBCEBDA075}" id="{E81B3199-8AC7-4A79-AE01-1B78B88C414E}">
    <text>Se le llamo 23.09</text>
  </threadedComment>
  <threadedComment ref="N378" dT="2025-09-25T14:20:11.00" personId="{B1E64079-1830-45C6-8020-D0BBCEBDA075}" id="{2F71461A-1474-478A-B17F-B71F988B1BC6}">
    <text>Nuevo seguimiento 25.09, esta tramitando todo por CETLAT</text>
  </threadedComment>
  <threadedComment ref="N379" dT="2025-09-25T14:18:31.00" personId="{B1E64079-1830-45C6-8020-D0BBCEBDA075}" id="{CBDE3DB7-4E9B-463B-9FEF-2ADE3EFC65AA}">
    <text>Segundo seguimiento 23.09</text>
  </threadedComment>
  <threadedComment ref="J381" dT="2025-09-23T14:29:12.00" personId="{B1E64079-1830-45C6-8020-D0BBCEBDA075}" id="{08C2E782-3EAF-4B83-AA29-60A136C9913F}">
    <text>Se le llamo pero el número de teléfono no existe</text>
  </threadedComment>
  <threadedComment ref="L381" dT="2025-09-23T14:29:36.00" personId="{B1E64079-1830-45C6-8020-D0BBCEBDA075}" id="{D6084050-9236-44CB-BF23-80ECAF4B43E3}">
    <text>Se le envía correo ya que el numero proporcionado no existe</text>
  </threadedComment>
  <threadedComment ref="N382" dT="2025-09-25T14:15:04.00" personId="{B1E64079-1830-45C6-8020-D0BBCEBDA075}" id="{13601234-992E-46FD-AECC-35A631ACAB29}">
    <text>Segundo seguimiento 25.09</text>
  </threadedComment>
  <threadedComment ref="J385" dT="2025-09-25T09:45:59.00" personId="{B1E64079-1830-45C6-8020-D0BBCEBDA075}" id="{F9DF4B61-A505-4ECE-90B7-FB0249463B0C}">
    <text>Se le ha llamado y sale la contestadora</text>
  </threadedComment>
  <threadedComment ref="N387" dT="2025-11-06T12:47:06.00" personId="{26FC32E9-8AAE-4B62-9F11-44D94ADDDBFA}" id="{195F29DC-5FF4-4793-AB8C-9B5FE7AAC8BF}">
    <text>Seguimiento el 06/11</text>
  </threadedComment>
  <threadedComment ref="I389" dT="2025-10-02T16:00:30.00" personId="{B1E64079-1830-45C6-8020-D0BBCEBDA075}" id="{9DF6EC65-1608-4E81-A77C-F9886C1089B7}" done="1">
    <text>Comenta que es costoso para ella, se le ofrecio Cetlat pero no dio respuesta</text>
  </threadedComment>
  <threadedComment ref="N400" dT="2025-10-10T13:43:59.00" personId="{B1E64079-1830-45C6-8020-D0BBCEBDA075}" id="{4863712D-B892-4985-8DDB-FE5077EFFC1E}">
    <text>Se realiza seguimiento 10.10</text>
  </threadedComment>
  <threadedComment ref="J403" dT="2025-10-01T13:11:08.00" personId="{B1E64079-1830-45C6-8020-D0BBCEBDA075}" id="{28A500CF-A2ED-4A15-A12B-EFE296004C64}">
    <text>Desea sesiones con psicóloga, le facilite el número de Mireia</text>
  </threadedComment>
  <threadedComment ref="M405" dT="2025-10-24T09:02:18.00" personId="{26FC32E9-8AAE-4B62-9F11-44D94ADDDBFA}" id="{0EE64E04-7F49-4062-A4FF-92BDCF57BCC8}">
    <text>Llame el 24.10. Me notifico que por los momentos pospondrá la matriculación</text>
  </threadedComment>
  <threadedComment ref="J406" dT="2025-10-01T13:09:01.00" personId="{B1E64079-1830-45C6-8020-D0BBCEBDA075}" id="{944D80FC-A6AA-4819-9797-CBB74CAD2C01}">
    <text>Hablamos en dos oportunidades por llamada</text>
  </threadedComment>
  <threadedComment ref="L409" dT="2025-10-03T10:13:00.00" personId="{B1E64079-1830-45C6-8020-D0BBCEBDA075}" id="{1D59D84C-EA4C-4965-AAB8-DD89CDF67A36}">
    <text>Se contacto por correo ya que el número de teléfono no existe</text>
  </threadedComment>
  <threadedComment ref="N409" dT="2025-11-06T19:11:42.00" personId="{26FC32E9-8AAE-4B62-9F11-44D94ADDDBFA}" id="{48ED4C06-1E02-493D-8176-F1455DADE942}">
    <text>Seguimiento 06/11</text>
  </threadedComment>
  <threadedComment ref="J411" dT="2025-09-30T12:23:41.00" personId="{B1E64079-1830-45C6-8020-D0BBCEBDA075}" id="{7955404C-3BFE-405A-B181-DA6B81B7EC05}">
    <text>Se le llamo 30.09</text>
  </threadedComment>
  <threadedComment ref="N411" dT="2025-11-06T12:53:15.00" personId="{26FC32E9-8AAE-4B62-9F11-44D94ADDDBFA}" id="{B6124D1A-97A9-4C88-82EA-9A344308A29D}">
    <text>Seguimiento 06/11. Ofrecí CETLAT</text>
  </threadedComment>
  <threadedComment ref="J415" dT="2025-10-02T09:37:28.00" personId="{B1E64079-1830-45C6-8020-D0BBCEBDA075}" id="{F2C0DF05-E375-419B-B9E2-606FEFF16822}">
    <text>Hablamos por teléfono, pero ella quiere clases en vivo, sin embargo se le ofreció beca</text>
  </threadedComment>
  <threadedComment ref="K415" dT="2025-10-02T09:38:12.00" personId="{B1E64079-1830-45C6-8020-D0BBCEBDA075}" id="{A989C465-4B43-4C7F-B3AB-4B2D86BDA285}">
    <text>Aunque quiere clases en vivo esta haciendo lo de cetlat, para que que tanto de precio le baja el diplomado</text>
  </threadedComment>
  <threadedComment ref="N416" dT="2025-10-13T09:37:05.00" personId="{B1E64079-1830-45C6-8020-D0BBCEBDA075}" id="{A11E3BA9-C974-4172-BDD3-A18C0170C1DC}">
    <text>Nuevo seguimiento 13.10</text>
  </threadedComment>
  <threadedComment ref="J418" dT="2025-10-13T09:40:42.00" personId="{B1E64079-1830-45C6-8020-D0BBCEBDA075}" id="{23AC5760-4E96-473B-B73C-0419C7560291}">
    <text>Se le llamo el 13.10 no da respuesta</text>
  </threadedComment>
  <threadedComment ref="J420" dT="2025-10-13T09:59:58.00" personId="{B1E64079-1830-45C6-8020-D0BBCEBDA075}" id="{07F55F8A-7E9D-4ED8-9E28-30B6775CCB25}">
    <text>Se le llamo el 13.10 como 3er seguimiento y colgó la llamada</text>
  </threadedComment>
  <threadedComment ref="N420" dT="2025-10-02T15:20:38.00" personId="{B1E64079-1830-45C6-8020-D0BBCEBDA075}" id="{C06EBDE0-2850-47B7-8408-2104670B6AF8}">
    <text>Segundo seguimiento 2.10</text>
  </threadedComment>
  <threadedComment ref="O420" dT="2025-10-24T08:32:43.00" personId="{26FC32E9-8AAE-4B62-9F11-44D94ADDDBFA}" id="{17001867-4849-4E6B-A199-03B3D75D4751}">
    <text>La llame el 24.10. NO contesto</text>
  </threadedComment>
  <threadedComment ref="P420" dT="2025-10-24T08:33:18.00" personId="{26FC32E9-8AAE-4B62-9F11-44D94ADDDBFA}" id="{20A50C11-5735-4D3E-A702-FCA7841C09A4}">
    <text>Llame el 24.10. NO contesto</text>
  </threadedComment>
  <threadedComment ref="Q420" dT="2025-10-24T08:34:18.00" personId="{26FC32E9-8AAE-4B62-9F11-44D94ADDDBFA}" id="{05AC2458-D4AA-44FA-8653-A587F559FFD8}">
    <text>3 seguimiento 24.10. Le ofrecí cupón del 30% de descuento</text>
  </threadedComment>
  <threadedComment ref="J423" dT="2025-10-13T12:12:18.00" personId="{B1E64079-1830-45C6-8020-D0BBCEBDA075}" id="{AA8FDB2E-6BDB-4119-A6A8-47B863448757}">
    <text>Desea solo material para realizar test de credibilidad del testimonio, ya que va a colaborar con un bufete de abogados</text>
  </threadedComment>
  <threadedComment ref="M424" dT="2025-10-24T08:47:29.00" personId="{26FC32E9-8AAE-4B62-9F11-44D94ADDDBFA}" id="{BA32C450-643E-436B-801D-DC4E39D8F086}">
    <text>Llame 24.10. No contesto</text>
  </threadedComment>
  <threadedComment ref="N424" dT="2025-10-24T08:47:58.00" personId="{26FC32E9-8AAE-4B62-9F11-44D94ADDDBFA}" id="{6CC6C29B-5ADF-434A-959E-9DA89AD27725}">
    <text>Deje mensaje ofreciendo 50% de descuento por su curso</text>
  </threadedComment>
  <threadedComment ref="M426" dT="2025-10-13T12:08:13.00" personId="{B1E64079-1830-45C6-8020-D0BBCEBDA075}" id="{A7BF19C2-04F1-42D1-A98D-4C9045EE2CF3}">
    <text>La llame nuevamente 13.10 , sin respuesta</text>
  </threadedComment>
  <threadedComment ref="N426" dT="2025-10-31T16:21:48.00" personId="{26FC32E9-8AAE-4B62-9F11-44D94ADDDBFA}" id="{0574B02A-8DA0-419D-A224-6ADB25F37CC9}">
    <text>2 Seguimiento. no contestó</text>
  </threadedComment>
  <threadedComment ref="P426" dT="2025-10-24T09:18:38.00" personId="{26FC32E9-8AAE-4B62-9F11-44D94ADDDBFA}" id="{782DE8F1-7546-4E2F-8606-F86B1D3537F6}">
    <text>Llame el 24.10. No contesto</text>
  </threadedComment>
  <threadedComment ref="Q426" dT="2025-10-24T09:19:10.00" personId="{26FC32E9-8AAE-4B62-9F11-44D94ADDDBFA}" id="{5B19AFAB-9360-4DE3-9D97-F6F16D92A123}">
    <text>Deje mensaje oreciendo 50% de descuento. 24.10</text>
  </threadedComment>
  <threadedComment ref="N427" dT="2025-10-10T13:51:29.00" personId="{B1E64079-1830-45C6-8020-D0BBCEBDA075}" id="{EBD133F1-E5D2-4571-9F61-70DB9B57D5DC}">
    <text>Nuevamente seguimiento 10.10 y comenta que no se decide por el curso, le pregunte que si me podía decir el motivo o sugerencia que nos pueda dar para que se decida pero no dio un motivo especifico.</text>
  </threadedComment>
  <threadedComment ref="Q427" dT="2025-10-13T12:17:43.00" personId="{B1E64079-1830-45C6-8020-D0BBCEBDA075}" id="{416A768C-08FB-4A94-8047-BD88059ECF8B}">
    <text>Tercer seguimiento 13.10</text>
  </threadedComment>
  <threadedComment ref="M428" dT="2025-10-10T13:32:37.00" personId="{B1E64079-1830-45C6-8020-D0BBCEBDA075}" id="{D3103C80-7297-40CB-8779-4399CAD9E83B}">
    <text>Dio respuesta en la segunda llamada el día 10.10</text>
  </threadedComment>
  <threadedComment ref="N428" dT="2025-10-10T13:32:56.00" personId="{B1E64079-1830-45C6-8020-D0BBCEBDA075}" id="{E9306723-F923-4589-9535-35304F87F695}">
    <text>Se le envía información del curso</text>
  </threadedComment>
  <threadedComment ref="P428" dT="2025-10-24T09:38:15.00" personId="{26FC32E9-8AAE-4B62-9F11-44D94ADDDBFA}" id="{8F6181E8-CFF0-46A2-A06F-9F0AAAA86EA1}">
    <text>Llame el 24.10. NO contesto</text>
  </threadedComment>
  <threadedComment ref="Q428" dT="2025-10-24T09:39:06.00" personId="{26FC32E9-8AAE-4B62-9F11-44D94ADDDBFA}" id="{1B4CBFC7-01B4-4C51-87E8-377BC28C0FD0}">
    <text>3er seguimiento. le ofrecí 50% de descuento. 24.10</text>
  </threadedComment>
  <threadedComment ref="N430" dT="2025-10-13T12:20:05.00" personId="{B1E64079-1830-45C6-8020-D0BBCEBDA075}" id="{5E9FEE31-7951-4F45-94E2-9F4699ED9171}">
    <text>Segundo seguimiento 13.10</text>
  </threadedComment>
  <threadedComment ref="N431" dT="2025-10-13T12:21:41.00" personId="{B1E64079-1830-45C6-8020-D0BBCEBDA075}" id="{D4AAD72E-5F91-4283-BB24-3B66B14E75A4}">
    <text>Segundo seguimiento 13.10 ( es la misma persona de arriba)</text>
  </threadedComment>
  <threadedComment ref="J432" dT="2025-10-10T10:24:45.00" personId="{B1E64079-1830-45C6-8020-D0BBCEBDA075}" id="{9B9702D0-7B6A-48CD-868B-F617325ECB69}">
    <text>Se le llamo 8.10 y despejamos dudas</text>
  </threadedComment>
  <threadedComment ref="N432" dT="2025-10-13T12:22:58.00" personId="{B1E64079-1830-45C6-8020-D0BBCEBDA075}" id="{3AC76A78-A3A6-4895-833D-0EA906323B88}">
    <text>Segundo seguimiento por mensaje 13.10</text>
  </threadedComment>
  <threadedComment ref="P432" dT="2025-10-24T09:54:17.00" personId="{26FC32E9-8AAE-4B62-9F11-44D94ADDDBFA}" id="{7E2E6CB0-955F-4CD7-8E09-34B618C93E1B}">
    <text>Llame 24.10. esta muy interesada, me dará respuesta en la tarde. ofrecí descuento del 50%</text>
  </threadedComment>
  <threadedComment ref="N433" dT="2025-10-13T12:25:04.00" personId="{B1E64079-1830-45C6-8020-D0BBCEBDA075}" id="{B6D5E00D-1DF8-4814-A610-13B1F746E177}">
    <text>En el segundo seguimiento realizado el día miércoles 8.10 me dijo que no tenia ninguna duda referente al curso, que en todo caso después me contacta</text>
  </threadedComment>
  <threadedComment ref="M434" dT="2025-10-13T12:33:00.00" personId="{B1E64079-1830-45C6-8020-D0BBCEBDA075}" id="{0B3ED283-C8B7-4B76-9C5D-AED29838A5A4}">
    <text>Lo llame en el segundo seguimiento y no dio respuesta llamada 13.10</text>
  </threadedComment>
  <threadedComment ref="M435" dT="2025-10-13T12:40:08.00" personId="{B1E64079-1830-45C6-8020-D0BBCEBDA075}" id="{F121B310-69C0-4C4A-804D-8376FEEA421D}">
    <text>Me dijo simplemente que el no esta interesado y no quiere información del curso</text>
  </threadedComment>
  <threadedComment ref="J438" dT="2025-10-09T22:27:52.00" personId="{B1E64079-1830-45C6-8020-D0BBCEBDA075}" id="{4FF7D20B-763D-426C-B73C-31A2A29C3745}">
    <text>Se le llamo 9.10, no dio respuesta</text>
  </threadedComment>
  <threadedComment ref="N438" dT="2025-10-09T22:28:13.00" personId="{B1E64079-1830-45C6-8020-D0BBCEBDA075}" id="{ADB651A5-80E7-4F21-958F-1AA8DE841F01}">
    <text>Se le dejo mensaje 9-10 segundo seguimiento</text>
  </threadedComment>
  <threadedComment ref="Q438" dT="2025-10-13T13:13:19.00" personId="{B1E64079-1830-45C6-8020-D0BBCEBDA075}" id="{F7822DF6-E042-45D7-8F60-2025E7677D8F}">
    <text>Tercer seguimiento, el 13.10</text>
  </threadedComment>
  <threadedComment ref="J440" dT="2025-10-09T22:22:47.00" personId="{B1E64079-1830-45C6-8020-D0BBCEBDA075}" id="{DA473277-BCEB-4505-9093-4A4CD263F89F}">
    <text>La llame 9.10, sin respuesta</text>
  </threadedComment>
  <threadedComment ref="J441" dT="2025-10-08T09:52:12.00" personId="{B1E64079-1830-45C6-8020-D0BBCEBDA075}" id="{2C0FB11A-5317-495F-AFE4-8CFEC8E8FF29}">
    <text>Se le llamo pero sin poder comunicarme, salió el teléfono ocupado</text>
  </threadedComment>
  <threadedComment ref="M441" dT="2025-10-24T10:03:00.00" personId="{26FC32E9-8AAE-4B62-9F11-44D94ADDDBFA}" id="{4602F382-3DF6-4D39-B168-1785DC909F9C}">
    <text>Lame 24.10. No contesto</text>
  </threadedComment>
  <threadedComment ref="N441" dT="2025-10-24T10:03:41.00" personId="{26FC32E9-8AAE-4B62-9F11-44D94ADDDBFA}" id="{516FEC53-8C0F-4AB0-9433-71B730149F21}">
    <text>Deje mensaje, ofrecí 50% de descuento. 24.10</text>
  </threadedComment>
  <threadedComment ref="M442" dT="2025-10-24T10:23:59.00" personId="{26FC32E9-8AAE-4B62-9F11-44D94ADDDBFA}" id="{AC88DE3D-2677-4DF8-B747-9BF020A23619}">
    <text>Llame el 24.10. me solicito la información ya que el curso lo pagara la empresa y depende de ellos el momento para cancelar</text>
  </threadedComment>
  <threadedComment ref="N442" dT="2025-10-24T10:24:41.00" personId="{26FC32E9-8AAE-4B62-9F11-44D94ADDDBFA}" id="{221DAFFD-8545-41E6-8086-287ECD806D4F}">
    <text>Le deje la información para que pueda facilitársela a su empresa. 24.10</text>
  </threadedComment>
  <threadedComment ref="J443" dT="2025-10-09T22:04:49.00" personId="{B1E64079-1830-45C6-8020-D0BBCEBDA075}" id="{46A4E66A-3C76-495B-B232-7E7A9311C6CC}">
    <text>Se le llamo 9.10, no atendió</text>
  </threadedComment>
  <threadedComment ref="N443" dT="2025-10-09T22:05:14.00" personId="{B1E64079-1830-45C6-8020-D0BBCEBDA075}" id="{7BAEE4FE-F442-4FD3-A25F-44C4AA3EE3BC}">
    <text>Se le envía presentación del curso</text>
  </threadedComment>
  <threadedComment ref="N444" dT="2025-10-13T13:35:49.00" personId="{B1E64079-1830-45C6-8020-D0BBCEBDA075}" id="{ADAF566B-8027-419E-810E-71238C60376C}">
    <text>Segundo seguimiento 9.10</text>
  </threadedComment>
  <threadedComment ref="P444" dT="2025-10-13T13:37:26.00" personId="{B1E64079-1830-45C6-8020-D0BBCEBDA075}" id="{FC4AE03D-939B-409F-B648-487C24EB8837}">
    <text>La llame 13.10, no responde</text>
  </threadedComment>
  <threadedComment ref="J445" dT="2025-10-09T18:05:00.00" personId="{B1E64079-1830-45C6-8020-D0BBCEBDA075}" id="{18A0A08F-0949-43E8-85B4-6181AE544599}">
    <text>Se le llamo, no dio respuesta</text>
  </threadedComment>
  <threadedComment ref="K445" dT="2025-10-09T18:05:56.00" personId="{B1E64079-1830-45C6-8020-D0BBCEBDA075}" id="{29FD3B8A-85E9-449F-9A9B-8D622F0FA162}">
    <text>Dice que el precio es muy elevado, se le ofreció descuento, flexibilidad de pagos y aun así dice que es inaccesible</text>
  </threadedComment>
  <threadedComment ref="J446" dT="2025-10-09T19:17:02.00" personId="{B1E64079-1830-45C6-8020-D0BBCEBDA075}" id="{723D8958-4FB2-4BE1-8D06-301F957B0311}">
    <text>Se le llamo y despejamos dudas</text>
  </threadedComment>
  <threadedComment ref="J447" dT="2025-10-10T09:52:46.00" personId="{B1E64079-1830-45C6-8020-D0BBCEBDA075}" id="{A6DC9006-898A-4CF2-B1E6-CFB91718656B}">
    <text>Se le llamo pero envió la llamada a buzón</text>
  </threadedComment>
  <threadedComment ref="M447" dT="2025-10-14T12:34:41.00" personId="{B1E64079-1830-45C6-8020-D0BBCEBDA075}" id="{B0F636F6-3AF1-46C5-91AA-3D726F2286BE}">
    <text>La llame 14.10 envió a buzón</text>
  </threadedComment>
  <threadedComment ref="N447" dT="2025-10-14T12:33:24.00" personId="{B1E64079-1830-45C6-8020-D0BBCEBDA075}" id="{168A7702-0076-446F-A948-66703EFBD878}" done="1">
    <text>La llame 14.10 envió la llamada a buzón</text>
  </threadedComment>
  <threadedComment ref="P447" dT="2025-10-24T10:43:41.00" personId="{26FC32E9-8AAE-4B62-9F11-44D94ADDDBFA}" id="{FD43F21E-FE2A-4B20-83A3-DD891863E8C2}">
    <text>Llame el 24.10. No contesto</text>
  </threadedComment>
  <threadedComment ref="Q447" dT="2025-10-24T10:44:10.00" personId="{26FC32E9-8AAE-4B62-9F11-44D94ADDDBFA}" id="{7438DD76-0D1D-446D-808B-7E5AC9BDC736}">
    <text>Ofrecí 40% de descuento</text>
  </threadedComment>
  <threadedComment ref="J448" dT="2025-10-10T09:59:46.00" personId="{B1E64079-1830-45C6-8020-D0BBCEBDA075}" id="{A924A49C-D340-4728-B4D0-1CDD1FF04D0D}">
    <text>Se le llamo, pero fue enviada al buzón de voz</text>
  </threadedComment>
  <threadedComment ref="J449" dT="2025-10-10T17:59:32.00" personId="{B1E64079-1830-45C6-8020-D0BBCEBDA075}" id="{56B95BDE-8C5B-4036-888D-AE666CAAA96E}">
    <text>Se le llamo y no dio respuesta</text>
  </threadedComment>
  <threadedComment ref="M450" dT="2025-10-22T21:03:13.00" personId="{26FC32E9-8AAE-4B62-9F11-44D94ADDDBFA}" id="{77D30919-A89F-458D-8D5E-B8C6A4DF5D37}">
    <text>Solicito llamada el 22.10. Interesada</text>
  </threadedComment>
  <threadedComment ref="J451" dT="2025-10-13T14:34:55.00" personId="{B1E64079-1830-45C6-8020-D0BBCEBDA075}" id="{1E8803CD-F467-478C-AEDF-A7FF037DE024}">
    <text>Le hice video llamada</text>
  </threadedComment>
  <threadedComment ref="J453" dT="2025-10-13T13:21:09.00" personId="{B1E64079-1830-45C6-8020-D0BBCEBDA075}" id="{654C26ED-FA68-414A-BEBE-993BA6BE4633}">
    <text>Llame hoy 13.10, sin respuesta</text>
  </threadedComment>
  <threadedComment ref="M454" dT="2025-10-14T14:23:26.00" personId="{B1E64079-1830-45C6-8020-D0BBCEBDA075}" id="{A8334910-A347-4025-8AF4-0699F4DE8BB0}">
    <text>Me llamo ella a mi y me dijo que no esta interesada que le surgió un inconveniente y no tiene trabajo</text>
  </threadedComment>
  <threadedComment ref="K455" dT="2025-10-14T18:22:54.00" personId="{B1E64079-1830-45C6-8020-D0BBCEBDA075}" id="{7F6935B3-0514-49D6-9E0B-3BAD801C30DA}">
    <text>Ya es una persona que he atendido antes, estamos en conversación por whatsapp</text>
  </threadedComment>
  <threadedComment ref="P455" dT="2025-10-22T10:07:03.00" personId="{26FC32E9-8AAE-4B62-9F11-44D94ADDDBFA}" id="{D152E97F-3845-4799-8269-2AB94794B49A}">
    <text>Llame el 22.10. No contesto</text>
  </threadedComment>
  <threadedComment ref="Q455" dT="2025-10-24T11:00:28.00" personId="{26FC32E9-8AAE-4B62-9F11-44D94ADDDBFA}" id="{6C5CB0EC-81CA-4C57-9EC7-61C9544F2B6B}">
    <text>Lame 24.10. me comenta que esta interesada pero que no tiene el tiempo en este momento</text>
  </threadedComment>
  <threadedComment ref="M456" dT="2025-10-21T16:17:23.00" personId="{26FC32E9-8AAE-4B62-9F11-44D94ADDDBFA}" id="{97E99D71-EDF9-49B2-8C71-D9AD4E4DF7DE}">
    <text>Lo llame el 21/10. No contesto</text>
  </threadedComment>
  <threadedComment ref="N456" dT="2025-10-22T11:10:18.00" personId="{26FC32E9-8AAE-4B62-9F11-44D94ADDDBFA}" id="{2F992124-98E5-4551-8480-C2D29B62B2AF}">
    <text>Se le contacto por mensaje nuevamente, no responde</text>
  </threadedComment>
  <threadedComment ref="P456" dT="2025-10-22T11:09:34.00" personId="{26FC32E9-8AAE-4B62-9F11-44D94ADDDBFA}" id="{D3B18C61-B64D-4D33-B355-A88F8FAE0008}">
    <text>Llame el 22.10. No contesto</text>
  </threadedComment>
  <threadedComment ref="J459" dT="2025-10-17T14:26:14.00" personId="{26FC32E9-8AAE-4B62-9F11-44D94ADDDBFA}" id="{23D2F086-F623-40BE-BD91-AAC7F7A75C3C}">
    <text>Se llamo el 17/10. No respondió</text>
  </threadedComment>
  <threadedComment ref="J460" dT="2025-10-16T13:58:04.00" personId="{26FC32E9-8AAE-4B62-9F11-44D94ADDDBFA}" id="{865E53D7-405D-4A5E-B519-7D1E485F3959}">
    <text>Se le llamo 16/10, sin respuesta.</text>
  </threadedComment>
  <threadedComment ref="J461" dT="2025-10-17T14:04:37.00" personId="{26FC32E9-8AAE-4B62-9F11-44D94ADDDBFA}" id="{FCC155DC-B955-4013-998E-AAC4F879C881}">
    <text>Se llamo el 17/10. No respondió</text>
  </threadedComment>
  <threadedComment ref="J463" dT="2025-10-17T12:42:56.00" personId="{26FC32E9-8AAE-4B62-9F11-44D94ADDDBFA}" id="{5F3D350A-4855-42E5-95F5-4878BFF96C9C}">
    <text>Se llamo el 17/10, es interesada. solicito métodos de pago. Pendiente confirmación.</text>
  </threadedComment>
  <threadedComment ref="J464" dT="2025-10-17T14:12:57.00" personId="{B1E64079-1830-45C6-8020-D0BBCEBDA075}" id="{04CB7C0C-34B6-401C-8596-656282F6649E}">
    <text>Se le llamo 17.10 y no dio respuesta</text>
  </threadedComment>
  <threadedComment ref="J466" dT="2025-10-20T18:37:24.00" personId="{26FC32E9-8AAE-4B62-9F11-44D94ADDDBFA}" id="{2B79C04C-BE93-414D-AC8C-B38503B296AF}">
    <text>Solicito se le facilitara la información por Whatsapp</text>
  </threadedComment>
  <threadedComment ref="M467" dT="2025-10-24T11:12:32.00" personId="{26FC32E9-8AAE-4B62-9F11-44D94ADDDBFA}" id="{F4391F19-C5B1-4AC6-8CC3-EBA81624CF58}">
    <text>Llame el 24.10. No contesto</text>
  </threadedComment>
  <threadedComment ref="N467" dT="2025-10-24T11:13:07.00" personId="{26FC32E9-8AAE-4B62-9F11-44D94ADDDBFA}" id="{A4DC96B7-988E-46F7-BCB0-2DF9BEBC4632}">
    <text>Ofrecí 30% de descuento. 24.10</text>
  </threadedComment>
  <threadedComment ref="K469" dT="2025-10-21T13:20:43.00" personId="{26FC32E9-8AAE-4B62-9F11-44D94ADDDBFA}" id="{80D22A44-C43D-45EA-9292-E372EB9B342A}">
    <text>en espera para contactar nuevamente, o informar si desea el curso</text>
  </threadedComment>
  <threadedComment ref="M469" dT="2025-10-22T20:55:17.00" personId="{26FC32E9-8AAE-4B62-9F11-44D94ADDDBFA}" id="{901FFCCC-CACD-410A-B5BF-1F7C87CBD4C0}">
    <text>Llame el 22.10. No atendió</text>
  </threadedComment>
  <threadedComment ref="N469" dT="2025-10-29T09:13:12.00" personId="{26FC32E9-8AAE-4B62-9F11-44D94ADDDBFA}" id="{1769984C-724F-47E9-ABA9-613F9D6114BA}">
    <text>Le ofrecí 50% de descuento. No respondió. 23/10</text>
  </threadedComment>
  <threadedComment ref="J473" dT="2025-10-20T16:45:28.00" personId="{B1E64079-1830-45C6-8020-D0BBCEBDA075}" id="{4169599F-9EB2-4D87-A209-14F5A1C481DD}">
    <text>La llame 20.10,  no dio respuesta</text>
  </threadedComment>
  <threadedComment ref="J474" dT="2025-10-21T12:42:43.00" personId="{26FC32E9-8AAE-4B62-9F11-44D94ADDDBFA}" id="{58DA22CB-0327-4D62-9D41-49BE4358682C}">
    <text>Se llamo el 20/10. No contesto</text>
  </threadedComment>
  <threadedComment ref="N475" dT="2025-10-29T09:27:43.00" personId="{26FC32E9-8AAE-4B62-9F11-44D94ADDDBFA}" id="{4744444F-EE02-416B-95FB-B038AE32F720}">
    <text>Desea iniciar el 11/11. Recordar el 9 el proceso de pago y matrícula</text>
  </threadedComment>
  <threadedComment ref="J476" dT="2025-10-21T12:57:00.00" personId="{26FC32E9-8AAE-4B62-9F11-44D94ADDDBFA}" id="{9EF388D3-BE90-41F4-A8AC-D9AECA0D3AB6}">
    <text>Se llamo el 21/10. No contesto</text>
  </threadedComment>
  <threadedComment ref="N476" dT="2025-10-29T09:30:15.00" personId="{26FC32E9-8AAE-4B62-9F11-44D94ADDDBFA}" id="{0D2FC81A-D163-4B6D-B988-8D350E819CB0}">
    <text>Recordar el viernes, ofrecer cupon y lograr vender</text>
  </threadedComment>
  <threadedComment ref="J477" dT="2025-10-21T13:02:40.00" personId="{26FC32E9-8AAE-4B62-9F11-44D94ADDDBFA}" id="{091DE138-4511-400F-99AF-738ACD1C8ADE}">
    <text>Se llamo el 21/10. Busca algo presencial</text>
  </threadedComment>
  <threadedComment ref="J479" dT="2025-10-22T15:21:04.00" personId="{26FC32E9-8AAE-4B62-9F11-44D94ADDDBFA}" id="{6DEEA671-7247-4386-8AD5-DC8E54C16560}">
    <text>Llame el 22/10. No contesto</text>
  </threadedComment>
  <threadedComment ref="M479" dT="2025-10-22T20:36:00.00" personId="{26FC32E9-8AAE-4B62-9F11-44D94ADDDBFA}" id="{6C9B3371-7A49-4BA4-9812-7492D730555A}">
    <text>Me solicito una nueva llamada. donde acordó que para el viernes odia hacer el pago</text>
  </threadedComment>
  <threadedComment ref="J480" dT="2025-10-22T12:17:25.00" personId="{26FC32E9-8AAE-4B62-9F11-44D94ADDDBFA}" id="{360DA250-AD17-40B4-91B2-3B9A0CB46B5D}">
    <text>Solicito información por WhatsApp</text>
  </threadedComment>
  <threadedComment ref="N480" dT="2025-10-29T09:42:57.00" personId="{26FC32E9-8AAE-4B62-9F11-44D94ADDDBFA}" id="{F35B27C0-E245-40C5-AF05-85644EE0A77E}">
    <text>Escribí el 28/10. Sin respuesta</text>
  </threadedComment>
  <threadedComment ref="J481" dT="2025-10-22T19:17:29.00" personId="{26FC32E9-8AAE-4B62-9F11-44D94ADDDBFA}" id="{1F504661-BF51-4FF9-807C-D16529DC6135}">
    <text>Llame el 22.10. Esta muy interesado en una serie de cursos</text>
  </threadedComment>
  <threadedComment ref="K481" dT="2025-10-22T19:18:29.00" personId="{26FC32E9-8AAE-4B62-9F11-44D94ADDDBFA}" id="{DB3F606A-A655-4513-BCAC-D63053F4DA34}">
    <text>Se le facilitó la opción de 3 cursos por el pago de 2. Esperando confirmación antes del viernes</text>
  </threadedComment>
  <threadedComment ref="J482" dT="2025-10-22T19:14:55.00" personId="{26FC32E9-8AAE-4B62-9F11-44D94ADDDBFA}" id="{BD841AA8-6D9B-41A1-9539-190EC847E408}">
    <text>Lo llame el 22.10. No atendio</text>
  </threadedComment>
  <threadedComment ref="K482" dT="2025-10-22T19:15:56.00" personId="{26FC32E9-8AAE-4B62-9F11-44D94ADDDBFA}" id="{67AB9C91-D64E-4BE0-BEA0-438216FF8D3A}">
    <text>Le deje el Link de CETLAT, porque solicito información de beca</text>
  </threadedComment>
  <threadedComment ref="N482" dT="2025-10-23T15:11:33.00" personId="{26FC32E9-8AAE-4B62-9F11-44D94ADDDBFA}" id="{7D5C35B7-E205-4E92-B98A-365D3AF90645}">
    <text>Le recordé revisar el link de CETLAT</text>
  </threadedComment>
  <threadedComment ref="Q482" dT="2025-10-24T14:31:29.00" personId="{26FC32E9-8AAE-4B62-9F11-44D94ADDDBFA}" id="{D1A698CD-DD49-4C00-8703-878FE18D072A}">
    <text>Solicito nueva información el 24.10</text>
  </threadedComment>
  <threadedComment ref="J483" dT="2025-10-22T20:53:11.00" personId="{26FC32E9-8AAE-4B62-9F11-44D94ADDDBFA}" id="{73482B4B-1D4F-49F9-BF45-36EF42D287F0}">
    <text>Llame el 22.10. No contesto, solicito información por mensaje</text>
  </threadedComment>
  <threadedComment ref="J484" dT="2025-10-22T21:07:42.00" personId="{26FC32E9-8AAE-4B62-9F11-44D94ADDDBFA}" id="{9E764392-E9E6-4BAC-B390-90E307184A92}">
    <text>Llame el 22.10. No contesto</text>
  </threadedComment>
  <threadedComment ref="N484" dT="2025-10-29T09:47:03.00" personId="{26FC32E9-8AAE-4B62-9F11-44D94ADDDBFA}" id="{5ACEEBAF-A699-428E-A640-157B789F22E0}">
    <text>2 seguimiento. 28/10</text>
  </threadedComment>
  <threadedComment ref="J485" dT="2025-10-23T15:33:39.00" personId="{26FC32E9-8AAE-4B62-9F11-44D94ADDDBFA}" id="{F4BDCE4D-E957-43F5-8EB5-0B321A113A8D}">
    <text>Llame el 23/10. No contesto</text>
  </threadedComment>
  <threadedComment ref="N485" dT="2025-10-29T09:48:17.00" personId="{26FC32E9-8AAE-4B62-9F11-44D94ADDDBFA}" id="{E940BF07-B8A4-4452-A1B9-4573AA76D622}">
    <text>Escribí el 28/10. sin respuesta</text>
  </threadedComment>
  <threadedComment ref="J486" dT="2025-10-23T08:31:56.00" personId="{26FC32E9-8AAE-4B62-9F11-44D94ADDDBFA}" id="{BFC362C2-74A7-4E40-8CAA-4EF6E10CCF23}">
    <text>Llame el 23.10. No contesto</text>
  </threadedComment>
  <threadedComment ref="J487" dT="2025-10-23T08:32:37.00" personId="{26FC32E9-8AAE-4B62-9F11-44D94ADDDBFA}" id="{AB372531-A452-44A4-81EB-B92D088EC5B7}">
    <text>Llame el 23.10. No contesto</text>
  </threadedComment>
  <threadedComment ref="K488" dT="2025-10-23T15:20:11.00" personId="{26FC32E9-8AAE-4B62-9F11-44D94ADDDBFA}" id="{3F745B68-2FD6-4186-A0F6-9A70919E1E52}">
    <text>Solicito información sobre la beca. Se le hablo de CETLAT el 20/10</text>
  </threadedComment>
  <threadedComment ref="N488" dT="2025-10-23T15:22:47.00" personId="{26FC32E9-8AAE-4B62-9F11-44D94ADDDBFA}" id="{CB1689B6-3107-4331-866A-C18BBAFCE785}">
    <text>Escribió y le envié el link de CETLAT. 23/10</text>
  </threadedComment>
  <threadedComment ref="J489" dT="2025-10-24T08:08:02.00" personId="{26FC32E9-8AAE-4B62-9F11-44D94ADDDBFA}" id="{BEBD1C6E-886F-466E-BB74-7AF85062C2A3}">
    <text>Se le llamo el 23/10. No contesto</text>
  </threadedComment>
  <threadedComment ref="K489" dT="2025-10-24T08:09:07.00" personId="{26FC32E9-8AAE-4B62-9F11-44D94ADDDBFA}" id="{7488FD15-E7BC-4EC9-B91C-CE8FA36C1136}">
    <text>Solicito información por mensaje. Se le facilito los métodos de pago</text>
  </threadedComment>
  <threadedComment ref="J490" dT="2025-10-24T14:28:37.00" personId="{26FC32E9-8AAE-4B62-9F11-44D94ADDDBFA}" id="{74C06904-6F7D-4301-BE1E-4F419F3F2B1D}">
    <text>Llame el 24.10. Solicito información sobre las técnicas que se le facilitaran, componentes y apreciación del tutor.</text>
  </threadedComment>
  <threadedComment ref="J495" dT="2025-10-27T08:45:53.00" personId="{26FC32E9-8AAE-4B62-9F11-44D94ADDDBFA}" id="{1EE170DD-1E5D-47C4-98A2-4D237802E233}">
    <text>Llame el 27.10. No contesto</text>
  </threadedComment>
  <threadedComment ref="K495" dT="2025-10-27T08:46:49.00" personId="{26FC32E9-8AAE-4B62-9F11-44D94ADDDBFA}" id="{E5E0387C-7529-479D-B38B-795606B4DE8D}">
    <text>Solicito información por este medio. esta mas interesada en algo presencial</text>
  </threadedComment>
  <threadedComment ref="J496" dT="2025-10-27T09:21:18.00" personId="{26FC32E9-8AAE-4B62-9F11-44D94ADDDBFA}" id="{88A026C9-F95E-45BA-871D-597FB134A719}">
    <text>Llame el 27:10. No contestó</text>
  </threadedComment>
  <threadedComment ref="J497" dT="2025-10-27T09:22:18.00" personId="{26FC32E9-8AAE-4B62-9F11-44D94ADDDBFA}" id="{6AF6802B-BE54-41A9-B725-5E06175EED50}">
    <text>Llame el 27/10. No contesto</text>
  </threadedComment>
  <threadedComment ref="J499" dT="2025-10-27T09:22:46.00" personId="{26FC32E9-8AAE-4B62-9F11-44D94ADDDBFA}" id="{AA92E0A7-8F56-4A24-B626-E51FB4FB13A1}">
    <text>Llame el 27/10. No contestó</text>
  </threadedComment>
  <threadedComment ref="K499" dT="2025-10-27T11:47:59.00" personId="{26FC32E9-8AAE-4B62-9F11-44D94ADDDBFA}" id="{FB304143-5314-4827-ACB3-DE8CD79F2964}">
    <text>Solicito información por mensaje</text>
  </threadedComment>
  <threadedComment ref="M502" dT="2025-10-29T18:45:52.00" personId="{26FC32E9-8AAE-4B62-9F11-44D94ADDDBFA}" id="{D3993C26-F141-4319-8FD1-0F7038F12851}">
    <text>Llame por la central, no escuché. Luego llame por WhatsApp. no contesto. 29/10</text>
  </threadedComment>
  <threadedComment ref="N502" dT="2025-10-29T18:46:22.00" personId="{26FC32E9-8AAE-4B62-9F11-44D94ADDDBFA}" id="{AAAA932D-3D6B-4BF3-9A72-7C95BE0BB3B9}">
    <text>Deje mensaje con la información del curso.</text>
  </threadedComment>
  <threadedComment ref="Q502" dT="2025-11-12T18:44:51.00" personId="{26FC32E9-8AAE-4B62-9F11-44D94ADDDBFA}" id="{72571579-4C38-4843-984B-DB59B605E440}">
    <text>deje mensaje con el link de pago. 11/11</text>
  </threadedComment>
  <threadedComment ref="J503" dT="2025-10-28T09:47:07.00" personId="{26FC32E9-8AAE-4B62-9F11-44D94ADDDBFA}" id="{D162684B-C5EC-4472-8B40-E5B287DDB7D7}">
    <text>Llame el 28/10. Solicito mas información por mensaje</text>
  </threadedComment>
  <threadedComment ref="J504" dT="2025-10-28T09:47:41.00" personId="{26FC32E9-8AAE-4B62-9F11-44D94ADDDBFA}" id="{4FD84C28-67CD-4AB6-9748-791EC738A58F}">
    <text>Llame el 28/10. Contesto, solicito mas información por mensaje</text>
  </threadedComment>
  <threadedComment ref="J505" dT="2025-10-28T09:48:19.00" personId="{26FC32E9-8AAE-4B62-9F11-44D94ADDDBFA}" id="{C3B9E007-CDF0-48D5-B9CB-C56DF57C445A}">
    <text>Llame el 27/10. No podía contestar</text>
  </threadedComment>
  <threadedComment ref="J507" dT="2025-10-29T12:47:20.00" personId="{26FC32E9-8AAE-4B62-9F11-44D94ADDDBFA}" id="{E5F3B84D-796D-43A9-93CA-1299FF67D176}">
    <text>Llame por centralita no contesto.
Llame por WhatsApp, solicito que pasara la información por chat</text>
  </threadedComment>
  <threadedComment ref="N507" dT="2025-10-29T12:48:07.00" personId="{26FC32E9-8AAE-4B62-9F11-44D94ADDDBFA}" id="{69740899-F759-40CD-956F-659A75FD0967}">
    <text>2 seguimiento. 29/10</text>
  </threadedComment>
  <threadedComment ref="J508" dT="2025-10-29T12:41:20.00" personId="{26FC32E9-8AAE-4B62-9F11-44D94ADDDBFA}" id="{24300FEB-5A6B-443C-B69C-CC36410C44D3}">
    <text>Llame el 28/10. Me envió a buzón</text>
  </threadedComment>
  <threadedComment ref="M508" dT="2025-10-29T12:42:46.00" personId="{26FC32E9-8AAE-4B62-9F11-44D94ADDDBFA}" id="{6422E4E6-2440-467B-BE2C-6CD3EBF87221}">
    <text>Llame 29/10. No contestó</text>
  </threadedComment>
  <threadedComment ref="N508" dT="2025-10-29T12:42:04.00" personId="{26FC32E9-8AAE-4B62-9F11-44D94ADDDBFA}" id="{C7BB2058-4D84-406A-BEFE-36B567405B24}">
    <text>2 seguimiento. Deje mensaje/sin respuesta.</text>
  </threadedComment>
  <threadedComment ref="J509" dT="2025-10-29T14:53:14.00" personId="{26FC32E9-8AAE-4B62-9F11-44D94ADDDBFA}" id="{96BC3A4D-8303-4368-BCFF-76CC67C71BD1}">
    <text>Llame el 29/10. No atendió</text>
  </threadedComment>
  <threadedComment ref="J510" dT="2025-10-29T20:45:55.00" personId="{26FC32E9-8AAE-4B62-9F11-44D94ADDDBFA}" id="{39471E2D-B85D-4222-AA38-3E017662D372}">
    <text>Llame el 29/10. NO contesto</text>
  </threadedComment>
  <threadedComment ref="K510" dT="2025-10-29T20:46:23.00" personId="{26FC32E9-8AAE-4B62-9F11-44D94ADDDBFA}" id="{AF4ECF3B-E64A-4A3E-B372-F4823DB924E2}">
    <text>Solicito información por esta vía</text>
  </threadedComment>
  <threadedComment ref="N515" dT="2025-11-04T19:07:03.00" personId="{26FC32E9-8AAE-4B62-9F11-44D94ADDDBFA}" id="{98EF90F5-D842-45E8-9A28-FF99EDC7063A}">
    <text>Se le deje informacion sobre el 50%. No respondió</text>
  </threadedComment>
  <threadedComment ref="K516" dT="2025-10-30T14:53:06.00" personId="{26FC32E9-8AAE-4B62-9F11-44D94ADDDBFA}" id="{335AB5B9-7601-473F-BA84-5991A47BC0D9}">
    <text>Solicito información por esta vía.30/10</text>
  </threadedComment>
  <threadedComment ref="N516" dT="2025-10-31T13:17:26.00" personId="{26FC32E9-8AAE-4B62-9F11-44D94ADDDBFA}" id="{49ACA611-55CD-4E77-A6CE-B18A24E5FBFB}">
    <text>segundo seguimiento. 31/10</text>
  </threadedComment>
  <threadedComment ref="K517" dT="2025-10-31T13:12:30.00" personId="{26FC32E9-8AAE-4B62-9F11-44D94ADDDBFA}" id="{7E77C45C-3B3B-4258-A85A-01A91E851D42}">
    <text>Interesada en un diplomado, solicitara beca. 31/10</text>
  </threadedComment>
  <threadedComment ref="N517" dT="2025-11-04T19:03:15.00" personId="{26FC32E9-8AAE-4B62-9F11-44D94ADDDBFA}" id="{B57F677B-8516-4C0E-B204-8B3595D998C5}">
    <text>Seguimiento. Se le ofrecio la beca</text>
  </threadedComment>
  <threadedComment ref="J518" dT="2025-10-31T13:11:56.00" personId="{26FC32E9-8AAE-4B62-9F11-44D94ADDDBFA}" id="{6041EAE1-709D-4F36-8AC9-36A182CBAD73}">
    <text>La llame, facilite toda la información. 31/10</text>
  </threadedComment>
  <threadedComment ref="N518" dT="2025-11-03T13:02:38.00" personId="{26FC32E9-8AAE-4B62-9F11-44D94ADDDBFA}" id="{5412A484-B1A8-44DF-A780-F1554EEA0D2E}">
    <text>2 seguimiento. Ofreci 50% de descuento</text>
  </threadedComment>
  <threadedComment ref="K519" dT="2025-11-03T18:21:50.00" personId="{26FC32E9-8AAE-4B62-9F11-44D94ADDDBFA}" id="{8F73F242-08F7-489A-A19E-6E879BF99D3D}">
    <text>Solicito informacion por este medio. 3/11</text>
  </threadedComment>
  <threadedComment ref="K520" dT="2025-11-03T18:23:09.00" personId="{26FC32E9-8AAE-4B62-9F11-44D94ADDDBFA}" id="{EC570E80-304F-4A81-9BF0-B2FF91BB7D01}">
    <text>Solicito informacion por este medio. 3/11</text>
  </threadedComment>
  <threadedComment ref="K521" dT="2025-11-04T12:47:29.00" personId="{26FC32E9-8AAE-4B62-9F11-44D94ADDDBFA}" id="{BB8FF342-BF28-4BCB-AD20-4DA2BB57CCFE}">
    <text>Solicito informacion por este medio</text>
  </threadedComment>
  <threadedComment ref="N523" dT="2025-11-04T18:53:49.00" personId="{26FC32E9-8AAE-4B62-9F11-44D94ADDDBFA}" id="{B1D209F4-3039-4AD3-83FC-16CF6ABDD4A7}">
    <text>Seguimiento 4/11</text>
  </threadedComment>
  <threadedComment ref="K524" dT="2025-11-03T18:30:30.00" personId="{26FC32E9-8AAE-4B62-9F11-44D94ADDDBFA}" id="{F2CBC7ED-E9E3-40C5-B01D-B4792CE05291}">
    <text>Solicito informacion por este medio. 03/11</text>
  </threadedComment>
  <threadedComment ref="J525" dT="2025-11-04T12:44:34.00" personId="{26FC32E9-8AAE-4B62-9F11-44D94ADDDBFA}" id="{EFD8FA9E-9F38-4C0F-A2EF-4F155C4F8D83}">
    <text>Lo llame el 3/11. Facilite toda la información</text>
  </threadedComment>
  <threadedComment ref="K525" dT="2025-11-04T12:45:00.00" personId="{26FC32E9-8AAE-4B62-9F11-44D94ADDDBFA}" id="{7D71A9F1-64F4-4D2F-AE10-1581EA1A25B4}">
    <text>Concreto el pago</text>
  </threadedComment>
  <threadedComment ref="K526" dT="2025-11-04T18:51:15.00" personId="{26FC32E9-8AAE-4B62-9F11-44D94ADDDBFA}" id="{3EEDCF8D-2EC9-4579-9173-41B0E3AEA128}">
    <text>Solicito informacion por este medio. 03/11</text>
  </threadedComment>
  <threadedComment ref="N526" dT="2025-11-04T18:51:59.00" personId="{26FC32E9-8AAE-4B62-9F11-44D94ADDDBFA}" id="{7810C6E2-FC3A-45AE-AD49-58356927A630}">
    <text>seguimiento el 04/|11</text>
  </threadedComment>
  <threadedComment ref="K527" dT="2025-11-04T12:48:39.00" personId="{26FC32E9-8AAE-4B62-9F11-44D94ADDDBFA}" id="{6850C17D-C5FD-4D7D-BEEB-B567B0097028}">
    <text>Solicito informacion por este medio.</text>
  </threadedComment>
  <threadedComment ref="N527" dT="2025-11-04T12:49:09.00" personId="{26FC32E9-8AAE-4B62-9F11-44D94ADDDBFA}" id="{4C29D60B-4D42-4482-8FA1-3EF7F98475B0}">
    <text>2 seguimiento</text>
  </threadedComment>
  <threadedComment ref="J528" dT="2025-11-04T18:44:45.00" personId="{26FC32E9-8AAE-4B62-9F11-44D94ADDDBFA}" id="{7A7F858E-F939-486D-A449-F618160A8B4B}">
    <text>solicito informacion por llamada</text>
  </threadedComment>
  <threadedComment ref="K529" dT="2025-11-04T12:52:19.00" personId="{26FC32E9-8AAE-4B62-9F11-44D94ADDDBFA}" id="{49274567-4750-4D50-83CB-18E548ED7EBA}">
    <text>escribí el 04/11. deje información</text>
  </threadedComment>
  <threadedComment ref="N529" dT="2025-11-28T10:43:22.00" personId="{26FC32E9-8AAE-4B62-9F11-44D94ADDDBFA}" id="{1A892232-233A-441B-BF6D-5F0A8F7B0B67}">
    <text>2 seguimiento, sin respuesta. 14/11</text>
  </threadedComment>
  <threadedComment ref="Q529" dT="2025-11-28T10:43:46.00" personId="{26FC32E9-8AAE-4B62-9F11-44D94ADDDBFA}" id="{F6AAAD2C-95DD-45A4-B346-6DE88E58BCC1}">
    <text>3 seguimiento sin respuesta. 21/11</text>
  </threadedComment>
  <threadedComment ref="J530" dT="2025-11-05T09:08:44.00" personId="{26FC32E9-8AAE-4B62-9F11-44D94ADDDBFA}" id="{196035C4-C60C-4ED5-9EBE-BDB18160938A}">
    <text>solicito información por WhatsApp</text>
  </threadedComment>
  <threadedComment ref="K530" dT="2025-11-05T09:09:25.00" personId="{26FC32E9-8AAE-4B62-9F11-44D94ADDDBFA}" id="{41301E4A-77C4-4E8F-87CE-B7860025F149}">
    <text>Di información. Sin respuesta. 04/11</text>
  </threadedComment>
  <threadedComment ref="L531" dT="2025-11-05T13:53:54.00" personId="{26FC32E9-8AAE-4B62-9F11-44D94ADDDBFA}" id="{066812AD-C95E-4EB9-93EB-B85C53C15CCF}">
    <text>Aclare dudas. Solicite un número telefónico. 05/11</text>
  </threadedComment>
  <threadedComment ref="N533" dT="2025-11-14T11:32:48.00" personId="{26FC32E9-8AAE-4B62-9F11-44D94ADDDBFA}" id="{62716A8A-1D64-42D8-BD5B-93C1B0779640}">
    <text>escribi el 14/11</text>
  </threadedComment>
  <threadedComment ref="Q533" dT="2025-11-28T10:48:34.00" personId="{26FC32E9-8AAE-4B62-9F11-44D94ADDDBFA}" id="{6DEDEFC8-3521-4A74-BCC7-D315EE457634}">
    <text>3 seguimiento, sin respuesta. 21/11</text>
  </threadedComment>
  <threadedComment ref="N534" dT="2025-11-14T11:34:12.00" personId="{26FC32E9-8AAE-4B62-9F11-44D94ADDDBFA}" id="{28D1BB7B-AA91-41CA-AA8F-C7722F3A204F}">
    <text>Escribi el 7/11. sin respuesta</text>
  </threadedComment>
  <threadedComment ref="N544" dT="2025-11-14T11:39:01.00" personId="{26FC32E9-8AAE-4B62-9F11-44D94ADDDBFA}" id="{A922E6F0-33F3-4F44-A52E-534EF0F289DA}">
    <text>Escribi el 12/11. Pendiente solicitud de beca</text>
  </threadedComment>
  <threadedComment ref="J545" dT="2025-11-10T18:08:44.00" personId="{26FC32E9-8AAE-4B62-9F11-44D94ADDDBFA}" id="{98C7C3F2-F2A0-4560-B133-1EE561402B88}">
    <text>La llame el 10/11. Esta muy interesada en el curso pero por motivos de viaje y otros pendientes no podrá realizarlo todavía</text>
  </threadedComment>
  <threadedComment ref="K545" dT="2025-11-10T18:09:26.00" personId="{26FC32E9-8AAE-4B62-9F11-44D94ADDDBFA}" id="{8C501D1F-8099-4B2B-A65C-857AE69ACB62}">
    <text>Deje mensaje con toda la información. Me indica que para enero me contacta</text>
  </threadedComment>
  <threadedComment ref="N545" dT="2025-11-28T10:51:13.00" personId="{26FC32E9-8AAE-4B62-9F11-44D94ADDDBFA}" id="{24FB8E89-B327-4049-9F8D-81F15D200F73}">
    <text>Interesada, Pero esta de viaje</text>
  </threadedComment>
  <threadedComment ref="K546" dT="2025-11-10T18:11:02.00" personId="{26FC32E9-8AAE-4B62-9F11-44D94ADDDBFA}" id="{E79D7831-29D6-443C-A2D9-FDB53B5C9F77}">
    <text>Deje link de beca. sin respuesta. 10/11</text>
  </threadedComment>
  <threadedComment ref="N546" dT="2025-11-14T11:42:30.00" personId="{26FC32E9-8AAE-4B62-9F11-44D94ADDDBFA}" id="{D848E1B8-5AE2-4480-9178-C5207A83CD6A}">
    <text>2 seguimiento. 11/11, sin respuesta</text>
  </threadedComment>
  <threadedComment ref="J547" dT="2025-11-10T18:11:51.00" personId="{26FC32E9-8AAE-4B62-9F11-44D94ADDDBFA}" id="{5D2C5BCA-D267-430B-B083-834A205D55C0}">
    <text>llame el 10/11. Di toda la informacion necesaria</text>
  </threadedComment>
  <threadedComment ref="K547" dT="2025-11-10T18:12:15.00" personId="{26FC32E9-8AAE-4B62-9F11-44D94ADDDBFA}" id="{0055BF70-C6C5-4CDD-B7CA-E25644D586A7}">
    <text>deje informacion complementaria. 10/11</text>
  </threadedComment>
  <threadedComment ref="J548" dT="2025-11-10T18:15:38.00" personId="{26FC32E9-8AAE-4B62-9F11-44D94ADDDBFA}" id="{02283619-A4DA-49F0-BAE3-8328FA7828ED}">
    <text>Llame 10/11. Esta interesada, debe terminar un curso primero</text>
  </threadedComment>
  <threadedComment ref="K548" dT="2025-11-10T18:16:03.00" personId="{26FC32E9-8AAE-4B62-9F11-44D94ADDDBFA}" id="{B33696DA-82D2-4A40-ABFF-2E33F3FC1189}">
    <text>Deje informacion complementaria 10/11</text>
  </threadedComment>
  <threadedComment ref="K549" dT="2025-11-10T18:17:45.00" personId="{26FC32E9-8AAE-4B62-9F11-44D94ADDDBFA}" id="{628CCBEE-60BC-4B8E-B5EA-A9617A4BC09B}">
    <text>Solicito informacion por este medio 10/11. Revisara otras opciones y se decidirá</text>
  </threadedComment>
  <threadedComment ref="K550" dT="2025-11-10T18:27:27.00" personId="{26FC32E9-8AAE-4B62-9F11-44D94ADDDBFA}" id="{61456CB3-D1D5-474B-9E33-6E383483FFF4}">
    <text>Deje informacion el 10/11. sin respuesta</text>
  </threadedComment>
  <threadedComment ref="K551" dT="2025-11-10T18:29:45.00" personId="{26FC32E9-8AAE-4B62-9F11-44D94ADDDBFA}" id="{84C366A9-2447-45AD-9569-087767288266}">
    <text>Solicito informacion por este medio el 10/11. Debe esperar un tiempo, ya que será intervenida quirúrgicamente</text>
  </threadedComment>
  <threadedComment ref="L552" dT="2025-11-11T11:15:08.00" personId="{26FC32E9-8AAE-4B62-9F11-44D94ADDDBFA}" id="{7FB4A46F-BF24-478C-BCFD-02D73EC0ECEA}">
    <text>Envie correo el 11/10</text>
  </threadedComment>
  <threadedComment ref="K556" dT="2025-11-11T18:58:35.00" personId="{26FC32E9-8AAE-4B62-9F11-44D94ADDDBFA}" id="{0EB98275-61AE-4B3A-A1BC-07F0CF3AAC12}">
    <text>Solicito informacion el 11/11. Indico escasos recursos, le deje el link de CETLAT</text>
  </threadedComment>
  <threadedComment ref="K557" dT="2025-11-11T19:00:43.00" personId="{26FC32E9-8AAE-4B62-9F11-44D94ADDDBFA}" id="{0B3EAF24-C627-423C-827F-78DD5A2595C3}">
    <text>Deje Dossier del diplomado el 11/11. Pendiente revisar y confirmar</text>
  </threadedComment>
  <threadedComment ref="K558" dT="2025-11-11T19:00:02.00" personId="{26FC32E9-8AAE-4B62-9F11-44D94ADDDBFA}" id="{F3E02384-C92C-4D2A-881C-48B33B127F0F}">
    <text>Deje dossier del Máster Sin respuesta el 11/11</text>
  </threadedComment>
  <threadedComment ref="L559" dT="2025-11-12T20:01:27.00" personId="{26FC32E9-8AAE-4B62-9F11-44D94ADDDBFA}" id="{9C218120-2C20-4247-852A-0C7BBC073FA5}">
    <text>Escribí por correo el 12/11. Sin respuesta</text>
  </threadedComment>
  <threadedComment ref="K560" dT="2025-11-12T11:21:17.00" personId="{26FC32E9-8AAE-4B62-9F11-44D94ADDDBFA}" id="{ABFD3B98-0F3D-494A-9C9B-11447870DE91}">
    <text>escribi el 12/11. Deje dossier con toda la información</text>
  </threadedComment>
  <threadedComment ref="K561" dT="2025-11-12T11:20:41.00" personId="{26FC32E9-8AAE-4B62-9F11-44D94ADDDBFA}" id="{23E85D14-4776-43ED-B689-4BEB332CB264}">
    <text>Deje un mensaje el 12/11.</text>
  </threadedComment>
  <threadedComment ref="L562" dT="2025-11-12T12:42:46.00" personId="{26FC32E9-8AAE-4B62-9F11-44D94ADDDBFA}" id="{65C173F6-246F-460E-8A0C-59C7038B6FBE}">
    <text>se dejo correo con informacion y contenido de los módulos. En espera de un numero telefónico para ampliar información.12/11</text>
  </threadedComment>
  <threadedComment ref="J563" dT="2025-11-17T12:15:43.00" personId="{26FC32E9-8AAE-4B62-9F11-44D94ADDDBFA}" id="{9B934E55-3948-473A-BA51-4399067E50EB}">
    <text>Realice llamada el 17/11. Facilite información. Decidió realizar el curso</text>
  </threadedComment>
  <threadedComment ref="L563" dT="2025-11-12T14:40:47.00" personId="{26FC32E9-8AAE-4B62-9F11-44D94ADDDBFA}" id="{25142F27-0DEB-4BD4-B050-7A3B43ED4AD4}">
    <text>Se envio informacion solicitada por este medio. 12/11</text>
  </threadedComment>
  <threadedComment ref="K564" dT="2025-11-13T18:31:57.00" personId="{26FC32E9-8AAE-4B62-9F11-44D94ADDDBFA}" id="{82EB72C8-E245-4294-A11E-AD97481CB15A}">
    <text>Envié informacion necesaria el 13/11</text>
  </threadedComment>
  <threadedComment ref="L564" dT="2025-11-13T14:33:16.00" personId="{26FC32E9-8AAE-4B62-9F11-44D94ADDDBFA}" id="{0CFEFA3F-6FE1-49D5-9AE4-C9CAC409E872}">
    <text>Deje informacion con Dossier. 13/11</text>
  </threadedComment>
  <threadedComment ref="J570" dT="2025-11-13T18:29:14.00" personId="{26FC32E9-8AAE-4B62-9F11-44D94ADDDBFA}" id="{9343BA1A-8F25-4030-9732-208EAB23ADAD}">
    <text>llame el 13/11. Facilite toda la informacion y di orientaciones</text>
  </threadedComment>
  <threadedComment ref="K570" dT="2025-11-13T18:29:49.00" personId="{26FC32E9-8AAE-4B62-9F11-44D94ADDDBFA}" id="{8097CEE8-EE88-4963-A96E-1B392A44FAF6}">
    <text>Envié Dossier de diferentes cursos para decidir. 13/11</text>
  </threadedComment>
  <threadedComment ref="N570" dT="2025-11-14T15:26:42.00" personId="{26FC32E9-8AAE-4B62-9F11-44D94ADDDBFA}" id="{3CBEB95C-F939-40E9-944E-6F0A6C50B0C2}">
    <text>2 seguimiento 14/11. Sin respuesta</text>
  </threadedComment>
  <threadedComment ref="K571" dT="2025-11-13T18:30:23.00" personId="{26FC32E9-8AAE-4B62-9F11-44D94ADDDBFA}" id="{696411D9-E580-4275-B137-93D6C0BF25E8}">
    <text>Envié informacion con Dossier. En espera confirmación</text>
  </threadedComment>
  <threadedComment ref="N571" dT="2025-11-14T13:07:40.00" personId="{26FC32E9-8AAE-4B62-9F11-44D94ADDDBFA}" id="{A070D04A-4A0B-4323-BF58-1D113ED0E530}">
    <text>Seguimiento el 14/11</text>
  </threadedComment>
  <threadedComment ref="K572" dT="2025-11-14T13:09:16.00" personId="{26FC32E9-8AAE-4B62-9F11-44D94ADDDBFA}" id="{6E6062A8-82B1-4D72-BE6F-9A821D5F5148}">
    <text>Escribi el 14/11. Deje Dossier</text>
  </threadedComment>
  <threadedComment ref="K573" dT="2025-11-14T13:10:29.00" personId="{26FC32E9-8AAE-4B62-9F11-44D94ADDDBFA}" id="{C1A82489-D45E-4C79-9E2C-D86DC3BB7D3D}">
    <text>Escribi el 14/11. Deje información</text>
  </threadedComment>
  <threadedComment ref="N573" dT="2025-11-17T11:27:14.00" personId="{26FC32E9-8AAE-4B62-9F11-44D94ADDDBFA}" id="{C430F6D7-6C85-4F5D-8254-8E005D5DDB11}">
    <text>Seguimiento 17.11</text>
  </threadedComment>
  <threadedComment ref="N574" dT="2025-11-17T11:30:08.00" personId="{26FC32E9-8AAE-4B62-9F11-44D94ADDDBFA}" id="{5B4D19DB-AD2A-43E5-8E5A-E17AAB801474}">
    <text>Seguimiento 17/11</text>
  </threadedComment>
  <threadedComment ref="L575" dT="2025-11-14T14:55:12.00" personId="{26FC32E9-8AAE-4B62-9F11-44D94ADDDBFA}" id="{3F49BA24-35F0-41AA-AB52-FEC0D6427A1A}">
    <text>Escribi el 14/11</text>
  </threadedComment>
  <threadedComment ref="K576" dT="2025-11-17T11:18:32.00" personId="{26FC32E9-8AAE-4B62-9F11-44D94ADDDBFA}" id="{D6FA9071-4ADC-4895-8045-3C544476767A}">
    <text>Deje mensaje el 14.11. SE lo va a pensar</text>
  </threadedComment>
  <threadedComment ref="N576" dT="2025-11-17T11:19:04.00" personId="{26FC32E9-8AAE-4B62-9F11-44D94ADDDBFA}" id="{39BD8F56-1B87-473F-B576-29A9247D1100}">
    <text>Seguimiento el 17.11</text>
  </threadedComment>
  <threadedComment ref="K577" dT="2025-11-17T11:31:27.00" personId="{26FC32E9-8AAE-4B62-9F11-44D94ADDDBFA}" id="{FF452668-9C1F-432B-B6B8-84DC16A5AE14}">
    <text>Deje informacion por este medio. 17/11</text>
  </threadedComment>
  <threadedComment ref="N577" dT="2025-11-18T19:38:28.00" personId="{26FC32E9-8AAE-4B62-9F11-44D94ADDDBFA}" id="{BC314377-8F43-4C67-A1F2-01E7F431EF98}">
    <text>2 seguimiento. 18/11 
Interesada, pendiente decidir</text>
  </threadedComment>
  <threadedComment ref="K578" dT="2025-11-17T16:02:07.00" personId="{26FC32E9-8AAE-4B62-9F11-44D94ADDDBFA}" id="{2C309AEE-A119-4442-8422-05C587C5AFD5}">
    <text>Envié información y Dossier 17/11</text>
  </threadedComment>
  <threadedComment ref="K579" dT="2025-11-17T11:41:06.00" personId="{26FC32E9-8AAE-4B62-9F11-44D94ADDDBFA}" id="{A8878A3B-249D-4BEF-B49B-0836AA87CA7A}">
    <text>Deje informacion solicitada. Se le extravió la tarjeta. Esta atenta 17/11</text>
  </threadedComment>
  <threadedComment ref="K581" dT="2025-11-17T16:01:16.00" personId="{26FC32E9-8AAE-4B62-9F11-44D94ADDDBFA}" id="{5A0BEF35-D4DC-40D7-AA66-307DB415E41F}">
    <text>Envié informacion el 17/11</text>
  </threadedComment>
  <threadedComment ref="J582" dT="2025-11-17T15:57:07.00" personId="{26FC32E9-8AAE-4B62-9F11-44D94ADDDBFA}" id="{6D1B1B37-0B80-4765-BA2B-36027E7440CB}">
    <text>realicé llamada y facilite información  17/11</text>
  </threadedComment>
  <threadedComment ref="K582" dT="2025-11-17T15:57:37.00" personId="{26FC32E9-8AAE-4B62-9F11-44D94ADDDBFA}" id="{B61E0F32-0011-4BE6-8676-F87FA062D037}">
    <text>Envié link de pago</text>
  </threadedComment>
  <threadedComment ref="K583" dT="2025-11-17T16:00:32.00" personId="{26FC32E9-8AAE-4B62-9F11-44D94ADDDBFA}" id="{34264156-F6AD-4148-AAA0-7FA55D2C29D7}">
    <text>Envié información y Dossier el 17/11</text>
  </threadedComment>
  <threadedComment ref="K592" dT="2025-11-19T09:22:30.00" personId="{26FC32E9-8AAE-4B62-9F11-44D94ADDDBFA}" id="{FD85D2E5-C309-451A-8235-71670BF76861}">
    <text>escribí el 18/11. Sin respuesta</text>
  </threadedComment>
  <threadedComment ref="K594" dT="2025-11-19T12:03:19.00" personId="{26FC32E9-8AAE-4B62-9F11-44D94ADDDBFA}" id="{6AFB2DAD-933A-4F9B-AF71-FA14E76BE200}">
    <text>Escribí el 19/11. Solicito informacion sobre la beca, deje el link de CETLAT</text>
  </threadedComment>
  <threadedComment ref="K597" dT="2025-11-20T19:22:58.00" personId="{26FC32E9-8AAE-4B62-9F11-44D94ADDDBFA}" id="{F5EF2CAD-40DC-422A-B806-D89878DB7DC1}">
    <text>Deje Dossier con información</text>
  </threadedComment>
  <threadedComment ref="K598" dT="2025-11-20T19:24:11.00" personId="{26FC32E9-8AAE-4B62-9F11-44D94ADDDBFA}" id="{A5C95585-3D6F-489A-866F-2D22D30DAE63}">
    <text>Deje informacion de pago por plazos. 20/11</text>
  </threadedComment>
  <threadedComment ref="K599" dT="2025-11-20T19:25:20.00" personId="{26FC32E9-8AAE-4B62-9F11-44D94ADDDBFA}" id="{6A44F05D-01A9-4CBD-9FB0-7AD3D2617F33}">
    <text>Deje informacion y Dossier. 20/11</text>
  </threadedComment>
  <threadedComment ref="L600" dT="2025-11-20T19:26:41.00" personId="{26FC32E9-8AAE-4B62-9F11-44D94ADDDBFA}" id="{F23CB8FA-743D-4A77-A65A-8737C281F745}">
    <text>Deje información y Dossier al correo. 20/11</text>
  </threadedComment>
  <threadedComment ref="K601" dT="2025-11-20T19:29:17.00" personId="{26FC32E9-8AAE-4B62-9F11-44D94ADDDBFA}" id="{CBCF86BE-6BCA-49AD-BE6C-D61F346A89D1}">
    <text>Deje informacion y Dossier. pendiente confirmación</text>
  </threadedComment>
  <threadedComment ref="K602" dT="2025-11-20T19:28:06.00" personId="{26FC32E9-8AAE-4B62-9F11-44D94ADDDBFA}" id="{5ACF452E-C132-4233-B4FB-D97D34007C44}">
    <text>Deje informacion y Dossier. 20/11</text>
  </threadedComment>
  <threadedComment ref="K603" dT="2025-11-20T19:38:03.00" personId="{26FC32E9-8AAE-4B62-9F11-44D94ADDDBFA}" id="{EF411216-B539-4AFE-9560-0BC9AEF5CF26}">
    <text>deje informacion y Dossier. 20/11, sin respuesta</text>
  </threadedComment>
  <threadedComment ref="N605" dT="2025-11-26T11:34:12.00" personId="{26FC32E9-8AAE-4B62-9F11-44D94ADDDBFA}" id="{0A8E67C7-E372-42A1-8717-C5E0F9A415A1}">
    <text>Seguimiento el 26/11</text>
  </threadedComment>
  <threadedComment ref="K610" dT="2025-11-24T19:25:43.00" personId="{26FC32E9-8AAE-4B62-9F11-44D94ADDDBFA}" id="{CE6736B1-CFE7-4F4D-BF48-B6A3F1D896BB}">
    <text>Envié informacion el 25/11. Sin respuesta</text>
  </threadedComment>
  <threadedComment ref="L613" dT="2025-11-25T12:50:20.00" personId="{26FC32E9-8AAE-4B62-9F11-44D94ADDDBFA}" id="{FAB7427A-DDAD-49E3-9C65-16488AAC7CF7}">
    <text>Deje informacion por correo.</text>
  </threadedComment>
  <threadedComment ref="J617" dT="2025-11-24T19:32:14.00" personId="{26FC32E9-8AAE-4B62-9F11-44D94ADDDBFA}" id="{E281B57C-54B1-4673-9F54-28293838A72A}">
    <text>Realice llamada, facilite toda la informacion, di planes de pago, interesada</text>
  </threadedComment>
  <threadedComment ref="J618" dT="2025-11-24T19:32:59.00" personId="{26FC32E9-8AAE-4B62-9F11-44D94ADDDBFA}" id="{6AEA583D-1D7B-47C4-9371-EDCF4F3ACB74}">
    <text>Realice llamada, facilite toda la informacion, di planes de pago, interesada</text>
  </threadedComment>
  <threadedComment ref="K618" dT="2025-11-24T19:33:29.00" personId="{26FC32E9-8AAE-4B62-9F11-44D94ADDDBFA}" id="{D6A8034C-6FD0-48C3-8B7C-C53771342DAB}">
    <text>Solicito llamada, y confirmar fecha de inicio. 24/11</text>
  </threadedComment>
  <threadedComment ref="N618" dT="2025-11-26T11:42:51.00" personId="{26FC32E9-8AAE-4B62-9F11-44D94ADDDBFA}" id="{23C95479-10E5-4F79-A079-CA7CCC982006}">
    <text>seguimiento el 25/11. Sin respuesta</text>
  </threadedComment>
  <threadedComment ref="N620" dT="2025-11-26T11:45:43.00" personId="{26FC32E9-8AAE-4B62-9F11-44D94ADDDBFA}" id="{9E1AFE71-94E7-4DC5-929E-F950C9647739}">
    <text>Seguimiento el 26/11.</text>
  </threadedComment>
  <threadedComment ref="N621" dT="2025-11-26T11:48:03.00" personId="{26FC32E9-8AAE-4B62-9F11-44D94ADDDBFA}" id="{0F2D6CF6-C793-4A4D-813D-EBE3E857A733}">
    <text>seguimiento 26/11. sin respuesta</text>
  </threadedComment>
  <threadedComment ref="L623" dT="2025-11-26T11:49:11.00" personId="{26FC32E9-8AAE-4B62-9F11-44D94ADDDBFA}" id="{ADA57ED3-8085-44BC-8546-3A7346229003}">
    <text>deje información al correo y aclare dudas. 26/11</text>
  </threadedComment>
  <threadedComment ref="N631" dT="2025-11-27T19:10:29.00" personId="{26FC32E9-8AAE-4B62-9F11-44D94ADDDBFA}" id="{8B6B639F-671E-4B76-BE25-DC047D2534C1}">
    <text>seguimiento y envié Dossier. Sin respuesta. 27/11</text>
  </threadedComment>
  <threadedComment ref="N632" dT="2025-11-27T19:11:36.00" personId="{26FC32E9-8AAE-4B62-9F11-44D94ADDDBFA}" id="{16AFAB80-0447-41AD-81D5-5AC273FD7853}">
    <text>Seguimiento. 27/11</text>
  </threadedComment>
  <threadedComment ref="K646" dT="2025-12-02T11:16:40.00" personId="{26FC32E9-8AAE-4B62-9F11-44D94ADDDBFA}" id="{A2E6A434-1ECF-4007-9189-28E76EA6034D}">
    <text>Pase información el 28/11</text>
  </threadedComment>
  <threadedComment ref="N646" dT="2025-12-02T11:17:24.00" personId="{26FC32E9-8AAE-4B62-9F11-44D94ADDDBFA}" id="{1FDBC5AD-EE05-4633-93A8-981BD4521F95}">
    <text>seguimiento 02/12</text>
  </threadedComment>
  <threadedComment ref="N648" dT="2025-12-04T18:29:15.00" personId="{26FC32E9-8AAE-4B62-9F11-44D94ADDDBFA}" id="{9705899C-31CA-4941-AF92-F800F3E75834}">
    <text>Seguimiento. Deje link de pago</text>
  </threadedComment>
  <threadedComment ref="N649" dT="2025-12-10T15:01:09.00" personId="{26FC32E9-8AAE-4B62-9F11-44D94ADDDBFA}" id="{E1749AF0-E297-49CC-9ADB-87E95C933357}">
    <text>seguimiento. 10/12</text>
  </threadedComment>
  <threadedComment ref="N654" dT="2025-12-10T15:00:32.00" personId="{26FC32E9-8AAE-4B62-9F11-44D94ADDDBFA}" id="{245425B8-0A8D-41DA-BBF6-55497AFFB80A}">
    <text>seguimiento el 10/12</text>
  </threadedComment>
  <threadedComment ref="N655" dT="2025-12-10T15:11:42.00" personId="{26FC32E9-8AAE-4B62-9F11-44D94ADDDBFA}" id="{2B7E12D8-1455-45E7-87D9-2AA4722F6D70}">
    <text>seguimiento el 10/12</text>
  </threadedComment>
  <threadedComment ref="J659" dT="2025-12-05T09:54:50.00" personId="{26FC32E9-8AAE-4B62-9F11-44D94ADDDBFA}" id="{FE496B4E-77B6-431F-ADF2-07B4D993943D}">
    <text>Llame el 02/12. Sin respuesta</text>
  </threadedComment>
  <threadedComment ref="N659" dT="2025-12-05T09:53:50.00" personId="{26FC32E9-8AAE-4B62-9F11-44D94ADDDBFA}" id="{3E6735DD-C24B-4BF0-87AC-6ED85B6BF126}">
    <text>2 seguimiento. 05/12</text>
  </threadedComment>
  <threadedComment ref="K662" dT="2025-12-05T09:59:39.00" personId="{26FC32E9-8AAE-4B62-9F11-44D94ADDDBFA}" id="{6F231823-2E1C-422A-94B3-868F7F7E552F}">
    <text>Escribi el 02/12. Sin respuesta</text>
  </threadedComment>
  <threadedComment ref="N662" dT="2025-12-05T09:59:14.00" personId="{26FC32E9-8AAE-4B62-9F11-44D94ADDDBFA}" id="{687DE3C7-8E96-446F-9805-7E450A838DC5}">
    <text>2 seguimiento. 05/12</text>
  </threadedComment>
  <threadedComment ref="N665" dT="2025-12-05T10:26:41.00" personId="{26FC32E9-8AAE-4B62-9F11-44D94ADDDBFA}" id="{962A35AB-4F1D-4123-8A08-231FDF42446D}">
    <text>Seguimiento. Con 30% dcto. 05/12</text>
  </threadedComment>
  <threadedComment ref="K667" dT="2025-12-04T11:16:52.00" personId="{26FC32E9-8AAE-4B62-9F11-44D94ADDDBFA}" id="{4CA1BC8A-A837-4279-A2DB-B2FEA2411C37}">
    <text>Deje mensaje el 02/12. Sin respuesta</text>
  </threadedComment>
  <threadedComment ref="K668" dT="2025-12-04T11:16:21.00" personId="{26FC32E9-8AAE-4B62-9F11-44D94ADDDBFA}" id="{D94AF53C-1954-4C9A-AD59-2F993EECA96B}">
    <text>Deje mensaje el 04/12</text>
  </threadedComment>
  <threadedComment ref="N668" dT="2025-12-05T11:25:05.00" personId="{26FC32E9-8AAE-4B62-9F11-44D94ADDDBFA}" id="{AB7DDA9F-5DB5-4F1B-B488-860517440485}">
    <text>seguimiento con 30% Dcto. 05/12</text>
  </threadedComment>
  <threadedComment ref="K669" dT="2025-12-04T11:19:32.00" personId="{26FC32E9-8AAE-4B62-9F11-44D94ADDDBFA}" id="{0F818937-5043-4089-A61C-85EF99EB0FAA}">
    <text>Deje mensaje el 03/12. Sin respuesta</text>
  </threadedComment>
  <threadedComment ref="N669" dT="2025-12-04T11:19:55.00" personId="{26FC32E9-8AAE-4B62-9F11-44D94ADDDBFA}" id="{CFCE7EC0-C7A6-4194-BB73-BE7581E8B189}">
    <text>Aclare dudas el 04/12</text>
  </threadedComment>
  <threadedComment ref="K670" dT="2025-12-04T11:20:57.00" personId="{26FC32E9-8AAE-4B62-9F11-44D94ADDDBFA}" id="{809336C7-B814-422D-B679-BFE64990C53C}">
    <text>Deje mensaje el 03/12. Interesado, lo pensará para darme respuesta</text>
  </threadedComment>
  <threadedComment ref="N670" dT="2025-12-05T23:50:43.00" personId="{26FC32E9-8AAE-4B62-9F11-44D94ADDDBFA}" id="{D9F7C1CA-D4EA-4D6F-80A9-F79EAB6390AF}">
    <text>Seguimiento sin respuesta</text>
  </threadedComment>
  <threadedComment ref="K671" dT="2025-12-04T11:21:55.00" personId="{26FC32E9-8AAE-4B62-9F11-44D94ADDDBFA}" id="{20D8BAC7-D91F-4215-8FAE-462A74A1B428}">
    <text>Escribi el 03/12. Sin respuesta</text>
  </threadedComment>
  <threadedComment ref="N671" dT="2025-12-05T10:33:01.00" personId="{26FC32E9-8AAE-4B62-9F11-44D94ADDDBFA}" id="{00D687F9-81BF-4965-9A34-6EE732D0178D}">
    <text>Seguimiento. 30% Dcto. 05/12</text>
  </threadedComment>
  <threadedComment ref="K673" dT="2025-12-04T11:22:56.00" personId="{26FC32E9-8AAE-4B62-9F11-44D94ADDDBFA}" id="{4CA2A25D-6C60-40D3-A9F6-AF4C90D2464B}">
    <text>Deje informacion el 03/12. Sin respuesta</text>
  </threadedComment>
  <threadedComment ref="N673" dT="2025-12-05T10:35:51.00" personId="{26FC32E9-8AAE-4B62-9F11-44D94ADDDBFA}" id="{19AD60A6-D141-4968-A669-6E3727FA5F27}">
    <text>Seguimiento.30% Dcto. 05/12</text>
  </threadedComment>
  <threadedComment ref="K677" dT="2025-12-04T12:18:34.00" personId="{26FC32E9-8AAE-4B62-9F11-44D94ADDDBFA}" id="{BDD5C684-DF15-4CFC-A895-098254A2367E}">
    <text>Deje link de pago solicitado. 04/12</text>
  </threadedComment>
  <threadedComment ref="N678" dT="2025-12-05T10:55:16.00" personId="{26FC32E9-8AAE-4B62-9F11-44D94ADDDBFA}" id="{C8F746EB-7D4E-4104-83AF-7393538FADAD}">
    <text>Seguimiento. Ofrecí 30% Dcto.</text>
  </threadedComment>
  <threadedComment ref="K684" dT="2025-12-05T11:01:02.00" personId="{26FC32E9-8AAE-4B62-9F11-44D94ADDDBFA}" id="{75E0C9AE-E734-4F54-AD26-48D54B577536}">
    <text>Ofrecí  30% de descuento. 05/12</text>
  </threadedComment>
  <threadedComment ref="N684" dT="2025-12-11T09:09:01.00" personId="{B18C9912-DA46-4948-B7A7-E2DA12F32903}" id="{251B3377-083F-4516-9465-B3EF45B3DEF0}">
    <text>seguimiento. 11/12</text>
  </threadedComment>
  <threadedComment ref="N688" dT="2025-12-11T09:10:27.00" personId="{B18C9912-DA46-4948-B7A7-E2DA12F32903}" id="{EF0E6B5B-93A6-4C45-9520-DBDFA1083D74}">
    <text>Desea matricularse Luego.! ENERO:</text>
  </threadedComment>
  <threadedComment ref="N692" dT="2025-12-11T09:12:12.00" personId="{B18C9912-DA46-4948-B7A7-E2DA12F32903}" id="{1EECCA7D-E47F-492D-9ABF-C9DEFE968461}">
    <text>No interesado. Busca otro enfoque</text>
  </threadedComment>
  <threadedComment ref="N693" dT="2025-12-11T09:15:38.00" personId="{B18C9912-DA46-4948-B7A7-E2DA12F32903}" id="{BDD3642A-AD22-43E1-AAC6-982ADC7529F6}">
    <text>Seguimiento. 11/12</text>
  </threadedComment>
  <threadedComment ref="L696" dT="2025-12-08T15:27:43.00" personId="{26FC32E9-8AAE-4B62-9F11-44D94ADDDBFA}" id="{2D164FB5-C2D0-46B9-AE01-BC502CCECBB7}">
    <text>Informacion enviada al correo. 08/12/25</text>
  </threadedComment>
  <threadedComment ref="K699" dT="2025-12-08T15:28:19.00" personId="{26FC32E9-8AAE-4B62-9F11-44D94ADDDBFA}" id="{B463027D-D02A-4EE6-BFF7-BFE78232F8A1}">
    <text>Informacion y link enviada. 08/12</text>
  </threadedComment>
  <threadedComment ref="N705" dT="2025-12-16T16:16:22.00" personId="{B18C9912-DA46-4948-B7A7-E2DA12F32903}" id="{EDD8C85D-5B37-48F9-9066-8081CA0755AA}">
    <text>Seguimiento. 16.12/ realizara el pago por la web</text>
  </threadedComment>
  <threadedComment ref="K709" dT="2025-12-10T11:59:19.00" personId="{26FC32E9-8AAE-4B62-9F11-44D94ADDDBFA}" id="{F8B6EBB7-002C-45D7-A26C-C27139BDB8C0}">
    <text>Deje mensaje el 10.12</text>
  </threadedComment>
  <threadedComment ref="K712" dT="2025-12-10T12:00:51.00" personId="{26FC32E9-8AAE-4B62-9F11-44D94ADDDBFA}" id="{9E039713-63FD-44C1-B202-075F4658A446}">
    <text>Desea matricularse para Enero</text>
  </threadedComment>
  <threadedComment ref="J720" dT="2025-12-16T11:26:38.00" personId="{B18C9912-DA46-4948-B7A7-E2DA12F32903}" id="{CD93822A-6DFF-4AE7-AA79-36BC55B64788}">
    <text>Llame y ofrecí información solicitada. 12/12</text>
  </threadedComment>
  <threadedComment ref="K720" dT="2025-12-16T11:25:48.00" personId="{B18C9912-DA46-4948-B7A7-E2DA12F32903}" id="{BCDEA6D3-8137-4977-A4E6-096F638155F9}">
    <text>Deje mensaje con informacion solicitada. 12/12</text>
  </threadedComment>
  <threadedComment ref="N720" dT="2025-12-16T11:27:04.00" personId="{B18C9912-DA46-4948-B7A7-E2DA12F32903}" id="{10028CE4-77DB-4E15-BFAF-CBF2D95BBDDD}">
    <text>seguimiento 16/12</text>
  </threadedComment>
  <threadedComment ref="J721" dT="2025-12-16T11:28:27.00" personId="{B18C9912-DA46-4948-B7A7-E2DA12F32903}" id="{A33C012C-5B92-4462-A356-A0EABBB79BC6}">
    <text>Llame el 12/12. sin respuesta</text>
  </threadedComment>
  <threadedComment ref="N721" dT="2025-12-16T11:28:52.00" personId="{B18C9912-DA46-4948-B7A7-E2DA12F32903}" id="{4278BFD8-BFD7-4A11-A850-09EB7A8E767F}">
    <text>Seguimiento. 15/12</text>
  </threadedComment>
  <threadedComment ref="J722" dT="2025-12-17T11:42:35.00" personId="{26FC32E9-8AAE-4B62-9F11-44D94ADDDBFA}" id="{B7023166-4364-4D84-B6D8-0D152266E08B}">
    <text>Se llamo el 12.12. Sin respuesta</text>
  </threadedComment>
  <threadedComment ref="L722" dT="2025-12-17T11:43:06.00" personId="{26FC32E9-8AAE-4B62-9F11-44D94ADDDBFA}" id="{0A791258-DC63-4378-8D71-4F7A42779B9F}">
    <text>Deje correo con informacion del curso. 17/12</text>
  </threadedComment>
  <threadedComment ref="J723" dT="2025-12-16T11:32:09.00" personId="{B18C9912-DA46-4948-B7A7-E2DA12F32903}" id="{FFB7128A-8D6A-47C0-AE78-7C3AED79371E}">
    <text>Llame el 15/12. Sin respuesta</text>
  </threadedComment>
  <threadedComment ref="K723" dT="2025-12-16T11:32:40.00" personId="{B18C9912-DA46-4948-B7A7-E2DA12F32903}" id="{CF257377-80BB-4BA0-AE16-34BC3D0E9C47}">
    <text>escribí el 15/12. sin respuesta</text>
  </threadedComment>
  <threadedComment ref="J724" dT="2025-12-16T11:33:48.00" personId="{B18C9912-DA46-4948-B7A7-E2DA12F32903}" id="{043CDC66-3B8F-4146-A960-22CDAA2AA48B}">
    <text>Llame el 15/12. sin respuesta</text>
  </threadedComment>
  <threadedComment ref="L725" dT="2025-12-16T11:35:28.00" personId="{B18C9912-DA46-4948-B7A7-E2DA12F32903}" id="{563E551B-C75A-4731-BD32-A888A1E7E256}">
    <text>Deje información al correo.</text>
  </threadedComment>
  <threadedComment ref="L726" dT="2025-12-16T11:37:22.00" personId="{B18C9912-DA46-4948-B7A7-E2DA12F32903}" id="{1A0C2051-3643-49D1-A9AE-9703131AE211}">
    <text>Deje informacion al correo</text>
  </threadedComment>
  <threadedComment ref="J727" dT="2025-12-16T11:39:52.00" personId="{B18C9912-DA46-4948-B7A7-E2DA12F32903}" id="{E1505220-301A-4D16-85D7-332E47ED1ACE}">
    <text>Llame el 15/12. Sin Respuesta</text>
  </threadedComment>
  <threadedComment ref="N727" dT="2025-12-16T11:38:55.00" personId="{B18C9912-DA46-4948-B7A7-E2DA12F32903}" id="{720B1B25-C577-4320-8AD9-B00C0D4CBF59}">
    <text>Seguimiento el 16/12</text>
  </threadedComment>
  <threadedComment ref="K728" dT="2025-12-16T11:41:28.00" personId="{B18C9912-DA46-4948-B7A7-E2DA12F32903}" id="{739C4322-F90B-439F-8BF3-D752C3D52451}">
    <text>Facilite información. 15/12</text>
  </threadedComment>
  <threadedComment ref="N729" dT="2025-12-16T11:45:16.00" personId="{B18C9912-DA46-4948-B7A7-E2DA12F32903}" id="{230BA738-B4DB-41AA-8B4A-4CD7C125AF27}">
    <text>Seguimiento el 16/12</text>
  </threadedComment>
  <threadedComment ref="J730" dT="2025-12-16T11:52:47.00" personId="{B18C9912-DA46-4948-B7A7-E2DA12F32903}" id="{D5CC47DC-06BC-409E-ACEC-27D5CBB96DD3}">
    <text>Llame el 15/12. Sin respuesta</text>
  </threadedComment>
  <threadedComment ref="N730" dT="2025-12-16T11:53:12.00" personId="{B18C9912-DA46-4948-B7A7-E2DA12F32903}" id="{9B6CEA68-0E88-4AD3-9A85-4AE7D9301D1C}">
    <text>Seguimiento el 16/12</text>
  </threadedComment>
  <threadedComment ref="J735" dT="2025-12-16T15:05:34.00" personId="{B18C9912-DA46-4948-B7A7-E2DA12F32903}" id="{7A2F3A49-8B83-46BA-9B2C-D5A3AB49E77B}">
    <text>Llame el 15/12. Sin respuesta</text>
  </threadedComment>
  <threadedComment ref="K735" dT="2025-12-16T15:06:19.00" personId="{B18C9912-DA46-4948-B7A7-E2DA12F32903}" id="{E2082E1D-603D-4AA0-8EBC-B2AD1EDD9987}">
    <text>Escribí el 15/12. Solicito información por este medio</text>
  </threadedComment>
  <threadedComment ref="K737" dT="2025-12-16T15:14:04.00" personId="{B18C9912-DA46-4948-B7A7-E2DA12F32903}" id="{94B79D69-4EB4-4D34-9CF5-14A786D0941F}">
    <text>Deje mensaje el 16/12</text>
  </threadedComment>
  <threadedComment ref="J740" dT="2025-12-17T10:59:18.00" personId="{26FC32E9-8AAE-4B62-9F11-44D94ADDDBFA}" id="{0B1C3E4E-3F0F-4887-9B0B-83DE154412B8}">
    <text>Llamada pendiente par el 17/12 a las 12.30</text>
  </threadedComment>
  <threadedComment ref="K743" dT="2025-12-17T14:52:17.00" personId="{26FC32E9-8AAE-4B62-9F11-44D94ADDDBFA}" id="{E00A5557-4146-41B8-B7E9-7A69E5173D06}">
    <text>Solicita comunicarse en horas de la tarde. 17/12</text>
  </threadedComment>
  <threadedComment ref="J747" dT="2025-12-17T14:51:32.00" personId="{26FC32E9-8AAE-4B62-9F11-44D94ADDDBFA}" id="{81B59D41-6FA0-4207-AAA0-200E51BBD1F9}">
    <text>Realice llamada. El 17/12. sin respuesta</text>
  </threadedComment>
  <threadedComment ref="K749" dT="2025-12-29T16:20:42.00" personId="{26FC32E9-8AAE-4B62-9F11-44D94ADDDBFA}" id="{986EE0E0-9ADC-4E9B-BE0C-696398ECD8E9}">
    <text>Escribi el 18/12. Deje cupon de descuento</text>
  </threadedComment>
  <threadedComment ref="K750" dT="2025-12-29T16:21:06.00" personId="{26FC32E9-8AAE-4B62-9F11-44D94ADDDBFA}" id="{A74220FA-5561-4EA4-96E6-88A5467BA220}">
    <text>Escribi el 18/12. Deje cupon de descuento.</text>
  </threadedComment>
  <threadedComment ref="N751" dT="2025-12-29T16:22:01.00" personId="{26FC32E9-8AAE-4B62-9F11-44D94ADDDBFA}" id="{5F6816D0-C6F4-4CBE-A46B-83653AD3D1D5}">
    <text>Escribi el 29/12. Deje descuento de 50%</text>
  </threadedComment>
  <threadedComment ref="N755" dT="2025-12-30T11:18:15.00" personId="{26FC32E9-8AAE-4B62-9F11-44D94ADDDBFA}" id="{CB27098C-D089-4533-A8B6-622188329D2B}">
    <text>Escribi el 29/12. Deje cupon de descuento. Sin respuesta</text>
  </threadedComment>
  <threadedComment ref="N756" dT="2025-12-30T11:19:39.00" personId="{26FC32E9-8AAE-4B62-9F11-44D94ADDDBFA}" id="{8F2BD6EE-B2CB-435F-AC56-EABAB1B08465}">
    <text>Escribi el 29/12. Deje cupon, sin respuesta</text>
  </threadedComment>
  <threadedComment ref="N766" dT="2025-12-30T12:35:43.00" personId="{26FC32E9-8AAE-4B62-9F11-44D94ADDDBFA}" id="{6278304A-0B62-4914-944F-F95CE93AAF6E}">
    <text>Escribi el 30/12. Deje Dossier y cupon. Sin respuesta</text>
  </threadedComment>
  <threadedComment ref="N768" dT="2025-12-30T12:50:43.00" personId="{26FC32E9-8AAE-4B62-9F11-44D94ADDDBFA}" id="{D5983D30-82D7-4DCD-AA18-7B51C7FC5EC7}">
    <text>Escribi el 30/12. Deje Dossier, cupón. Sin respuesta</text>
  </threadedComment>
  <threadedComment ref="K827" dT="2026-01-12T09:53:25.00" personId="{26FC32E9-8AAE-4B62-9F11-44D94ADDDBFA}" id="{E664E815-4F4A-42E3-BD4C-1384CF2D02CE}">
    <text>Escribi el 09.01/ Deje cupón de descuento. sin respuesta</text>
  </threadedComment>
  <threadedComment ref="M830" dT="2026-05-05T12:01:32.00" personId="{26FC32E9-8AAE-4B62-9F11-44D94ADDDBFA}" id="{2ACC5FAD-B341-4982-997C-FFC08B166D14}">
    <text>Llamé el 05/05. Sin respuesta</text>
  </threadedComment>
  <threadedComment ref="J833" dT="2026-01-12T09:51:36.00" personId="{26FC32E9-8AAE-4B62-9F11-44D94ADDDBFA}" id="{A201C49B-A07F-47E5-B852-1FBA75028932}">
    <text>realice llamada el 12.01/ Sin respuesta</text>
  </threadedComment>
  <threadedComment ref="M840" dT="2026-05-05T12:00:48.00" personId="{26FC32E9-8AAE-4B62-9F11-44D94ADDDBFA}" id="{918931FE-6525-4C21-A42F-EB7539165AF6}">
    <text>llamé el 05/05. Sin respuesta</text>
  </threadedComment>
  <threadedComment ref="M842" dT="2026-05-05T12:10:42.00" personId="{26FC32E9-8AAE-4B62-9F11-44D94ADDDBFA}" id="{F628F0C1-CCE1-4614-808B-46A325E30471}">
    <text>Llame el 05/05. Sin respuesta</text>
  </threadedComment>
  <threadedComment ref="J843" dT="2026-01-15T18:56:06.00" personId="{26FC32E9-8AAE-4B62-9F11-44D94ADDDBFA}" id="{839D43D4-1F90-42AF-A438-A12F2DCFDB1C}">
    <text>Llame el 14/01, sin respuesta</text>
  </threadedComment>
  <threadedComment ref="J844" dT="2026-01-15T18:56:58.00" personId="{26FC32E9-8AAE-4B62-9F11-44D94ADDDBFA}" id="{294E8F90-859A-4047-800B-BAC8E3F57F36}">
    <text>Llame el 14/01. Atendio mi llamada, di información</text>
  </threadedComment>
  <threadedComment ref="J845" dT="2026-01-15T18:58:40.00" personId="{26FC32E9-8AAE-4B62-9F11-44D94ADDDBFA}" id="{FEABE520-B02B-49C3-9E67-7683ADA5D1C6}">
    <text>Llame el 15/01. Espera respuesta de su coordinador.</text>
  </threadedComment>
  <threadedComment ref="N845" dT="2026-01-15T18:59:22.00" personId="{26FC32E9-8AAE-4B62-9F11-44D94ADDDBFA}" id="{14765D5F-90B1-4CC1-A1AD-CDF7E32B2F42}">
    <text>Deje link de pago, en espera de respuesta del coordinador.</text>
  </threadedComment>
  <threadedComment ref="J846" dT="2026-01-15T19:03:01.00" personId="{26FC32E9-8AAE-4B62-9F11-44D94ADDDBFA}" id="{598F5256-D885-4C19-90C6-841BFC319C9F}">
    <text>NO desea llamadas</text>
  </threadedComment>
  <threadedComment ref="K846" dT="2026-01-15T19:02:33.00" personId="{26FC32E9-8AAE-4B62-9F11-44D94ADDDBFA}" id="{981BDFEC-F8EE-4B7B-A4AA-DF87A0690607}">
    <text>Deje información y planes de financiación el 14/01</text>
  </threadedComment>
  <threadedComment ref="K847" dT="2026-01-15T19:04:23.00" personId="{26FC32E9-8AAE-4B62-9F11-44D94ADDDBFA}" id="{56422117-A206-4DA8-9116-15E9ACD45552}">
    <text>Deje información y planes de pago</text>
  </threadedComment>
  <threadedComment ref="K848" dT="2026-01-15T19:09:01.00" personId="{26FC32E9-8AAE-4B62-9F11-44D94ADDDBFA}" id="{B72FB4D2-3BA5-439B-A4EA-4168B1B8AD1F}">
    <text>Deje información el 14/01</text>
  </threadedComment>
  <threadedComment ref="J874" dT="2026-01-20T13:29:56.00" personId="{26FC32E9-8AAE-4B62-9F11-44D94ADDDBFA}" id="{51E394FA-54CE-4688-A524-82E535D96F4A}">
    <text>No desea llamada</text>
  </threadedComment>
  <threadedComment ref="J885" dT="2026-01-20T20:39:44.00" personId="{26FC32E9-8AAE-4B62-9F11-44D94ADDDBFA}" id="{9CC6E3AF-485E-4510-A260-83941FD446ED}">
    <text>Llame el 20-01. No logre comunicarme</text>
  </threadedComment>
  <threadedComment ref="J888" dT="2026-01-21T12:10:46.00" personId="{26FC32E9-8AAE-4B62-9F11-44D94ADDDBFA}" id="{E0FD35E5-C402-4F15-B44D-945AA41CF241}">
    <text>Solicito inf por chat</text>
  </threadedComment>
  <threadedComment ref="J893" dT="2026-01-22T11:32:06.00" personId="{26FC32E9-8AAE-4B62-9F11-44D94ADDDBFA}" id="{01596CE1-8507-45EB-B625-026E18C68A6E}">
    <text>No desea llamada</text>
  </threadedComment>
  <threadedComment ref="J906" dT="2026-01-22T11:30:44.00" personId="{26FC32E9-8AAE-4B62-9F11-44D94ADDDBFA}" id="{225FC872-7A82-4D5A-814A-711308C3C174}">
    <text>No desea llamada</text>
  </threadedComment>
  <threadedComment ref="J959" dT="2026-02-11T11:49:28.00" personId="{26FC32E9-8AAE-4B62-9F11-44D94ADDDBFA}" id="{97C7C147-74A0-4830-ADEE-785E32BEF393}">
    <text>no quiere llamada</text>
  </threadedComment>
  <threadedComment ref="J1145" dT="2026-03-09T09:03:12.00" personId="{26FC32E9-8AAE-4B62-9F11-44D94ADDDBFA}" id="{DE820FDE-CB03-4C5B-B9BF-998AE896BA9F}">
    <text>No desea llamada</text>
  </threadedComment>
  <threadedComment ref="J1181" dT="2026-03-11T10:44:44.00" personId="{26FC32E9-8AAE-4B62-9F11-44D94ADDDBFA}" id="{9B3A6835-A892-426A-9D18-34BECC2D0EFE}">
    <text>no desea llamada</text>
  </threadedComment>
  <threadedComment ref="J1389" dT="2026-04-09T13:03:04.00" personId="{26FC32E9-8AAE-4B62-9F11-44D94ADDDBFA}" id="{0FC80DF5-701C-42FF-A97D-0BCA70B70A61}">
    <text>No desea llamadas.</text>
  </threadedComment>
  <threadedComment ref="J1406" dT="2026-04-09T12:38:14.00" personId="{26FC32E9-8AAE-4B62-9F11-44D94ADDDBFA}" id="{481FB9E0-2B63-45CE-81DD-5135E19AD5BD}">
    <text>No quiere llamadas</text>
  </threadedComment>
  <threadedComment ref="J1498" dT="2026-04-15T17:46:17.00" personId="{26FC32E9-8AAE-4B62-9F11-44D94ADDDBFA}" id="{B127C631-B1F2-4482-AABA-8969F1CE9E00}">
    <text>llame, sin respuesta</text>
  </threadedComment>
  <threadedComment ref="J1499" dT="2026-04-15T17:49:34.00" personId="{26FC32E9-8AAE-4B62-9F11-44D94ADDDBFA}" id="{8C012C31-A48A-4CDB-BB4B-62EE458FE4D9}">
    <text>Llame, sin respuesta</text>
  </threadedComment>
  <threadedComment ref="J1508" dT="2026-04-16T09:09:02.00" personId="{26FC32E9-8AAE-4B62-9F11-44D94ADDDBFA}" id="{6B2D389F-7B7B-4B33-A132-93032269AD47}">
    <text>Llame, sin respuesta</text>
  </threadedComment>
  <threadedComment ref="J1520" dT="2026-04-16T11:06:42.00" personId="{26FC32E9-8AAE-4B62-9F11-44D94ADDDBFA}" id="{17A94E8C-1E19-4B78-AB1D-116DD8EA2A5F}">
    <text>Llame, sin respuesta.</text>
  </threadedComment>
  <threadedComment ref="J1526" dT="2026-04-16T17:50:37.00" personId="{26FC32E9-8AAE-4B62-9F11-44D94ADDDBFA}" id="{1E91F16E-EFFF-4923-85AF-38067117FD1E}">
    <text>Llame, sin respuesta</text>
  </threadedComment>
  <threadedComment ref="J1534" dT="2026-04-17T19:05:43.00" personId="{26FC32E9-8AAE-4B62-9F11-44D94ADDDBFA}" id="{B6359B5A-AC59-40F1-8433-DD1B5EC4BC98}">
    <text>Llame el 17/04</text>
  </threadedComment>
  <threadedComment ref="J1546" dT="2026-04-20T15:02:58.00" personId="{26FC32E9-8AAE-4B62-9F11-44D94ADDDBFA}" id="{8C94DC2F-8FED-471C-9158-ED7BA6D9899A}">
    <text>Llame, sin respuesta</text>
  </threadedComment>
  <threadedComment ref="J1556" dT="2026-04-20T14:32:02.00" personId="{26FC32E9-8AAE-4B62-9F11-44D94ADDDBFA}" id="{EDD5A3F8-DC76-44C3-96D0-C538137A54D7}">
    <text>Llame. Sin respuesta</text>
  </threadedComment>
  <threadedComment ref="J1563" dT="2026-04-23T09:52:15.00" personId="{26FC32E9-8AAE-4B62-9F11-44D94ADDDBFA}" id="{1A913979-4361-4D57-862C-8641097F797B}">
    <text>Llame, sin respuesta</text>
  </threadedComment>
  <threadedComment ref="J1566" dT="2026-04-23T12:10:54.00" personId="{26FC32E9-8AAE-4B62-9F11-44D94ADDDBFA}" id="{75257602-9AC7-428F-A43F-A407E35311A5}">
    <text>Llamé, sin respuesta</text>
  </threadedComment>
  <threadedComment ref="J1567" dT="2026-04-23T12:10:30.00" personId="{26FC32E9-8AAE-4B62-9F11-44D94ADDDBFA}" id="{3FACB82A-71B5-4567-ACF8-2AECBE8856FF}">
    <text>Llamé, sin respuesta</text>
  </threadedComment>
  <threadedComment ref="J1572" dT="2026-04-24T09:16:18.00" personId="{26FC32E9-8AAE-4B62-9F11-44D94ADDDBFA}" id="{E1CB4FC5-CE53-4896-BDA3-BCF1231610D2}">
    <text>Llamé, sin respuesta</text>
  </threadedComment>
  <threadedComment ref="J1585" dT="2026-04-27T18:45:51.00" personId="{26FC32E9-8AAE-4B62-9F11-44D94ADDDBFA}" id="{5286FF71-AED0-4C04-9BDA-44F4AD528EED}">
    <text>No desea llamada</text>
  </threadedComment>
  <threadedComment ref="J1586" dT="2026-04-27T18:43:48.00" personId="{26FC32E9-8AAE-4B62-9F11-44D94ADDDBFA}" id="{BA83D816-E2C5-46BD-9FF0-E7D219C2DAE0}">
    <text>Llamé, sin respuesta</text>
  </threadedComment>
  <threadedComment ref="J1587" dT="2026-04-27T18:43:09.00" personId="{26FC32E9-8AAE-4B62-9F11-44D94ADDDBFA}" id="{00D52836-B070-4141-A7E1-3564222792E3}">
    <text>Llame. sin respuesta</text>
  </threadedComment>
  <threadedComment ref="J1588" dT="2026-04-27T18:46:14.00" personId="{26FC32E9-8AAE-4B62-9F11-44D94ADDDBFA}" id="{64808F95-C660-4381-8B92-6EC88871F66D}">
    <text>No desea llamada</text>
  </threadedComment>
  <threadedComment ref="J1606" dT="2026-04-29T12:39:46.00" personId="{26FC32E9-8AAE-4B62-9F11-44D94ADDDBFA}" id="{66603414-8BF6-4BAF-834A-E404257D0D02}">
    <text>Llame, sin respuesta</text>
  </threadedComment>
  <threadedComment ref="J1609" dT="2026-04-30T12:41:41.00" personId="{26FC32E9-8AAE-4B62-9F11-44D94ADDDBFA}" id="{B24F53E1-C993-4C85-8835-B23632C9D603}">
    <text>Llamé. Sin respuesta</text>
  </threadedComment>
  <threadedComment ref="J1624" dT="2026-05-05T13:00:27.00" personId="{26FC32E9-8AAE-4B62-9F11-44D94ADDDBFA}" id="{FF262D2A-376F-49D9-BA6B-47E6A6551FC1}">
    <text>Llame, sin respuesta.
Solicita llamada para mas tarde</text>
  </threadedComment>
  <threadedComment ref="J1625" dT="2026-05-06T10:52:35.00" personId="{26FC32E9-8AAE-4B62-9F11-44D94ADDDBFA}" id="{783DE964-FADB-49DD-9EE0-49B9F3AC961F}">
    <text>Llamé el 06/05. Sin respuesta</text>
  </threadedComment>
  <threadedComment ref="J1705" dT="2026-05-12T08:43:46.00" personId="{26FC32E9-8AAE-4B62-9F11-44D94ADDDBFA}" id="{EDAF1941-42FA-4780-8574-4D4A94945F48}">
    <text>No desea llamada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lulimar.3344@gmail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dashboard.stripe.com/acct_1PqtKvFsTdkKKUhQ/customers/cus_TZCojIJ2wjczSB" TargetMode="External"/><Relationship Id="rId1" Type="http://schemas.openxmlformats.org/officeDocument/2006/relationships/hyperlink" Target="mailto:jessipf20@g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yplogopedia@asociacioncivitas.es" TargetMode="External"/><Relationship Id="rId4" Type="http://schemas.openxmlformats.org/officeDocument/2006/relationships/hyperlink" Target="mailto:angelmc22psicologia@gmail.com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Q2220"/>
  <sheetViews>
    <sheetView tabSelected="1" topLeftCell="A258" workbookViewId="0">
      <selection activeCell="E265" sqref="E265"/>
    </sheetView>
  </sheetViews>
  <sheetFormatPr baseColWidth="10" defaultColWidth="12.6328125" defaultRowHeight="15.75" customHeight="1"/>
  <cols>
    <col min="1" max="1" width="22" customWidth="1"/>
    <col min="2" max="2" width="17.36328125" customWidth="1"/>
    <col min="3" max="3" width="41.08984375" customWidth="1"/>
    <col min="4" max="4" width="33" customWidth="1"/>
    <col min="5" max="5" width="15.6328125" customWidth="1"/>
    <col min="6" max="6" width="50.26953125" customWidth="1"/>
    <col min="7" max="7" width="24" customWidth="1"/>
    <col min="8" max="8" width="15.36328125" customWidth="1"/>
    <col min="10" max="10" width="9.36328125" customWidth="1"/>
    <col min="11" max="11" width="8.6328125" customWidth="1"/>
    <col min="12" max="12" width="6.08984375" customWidth="1"/>
    <col min="13" max="13" width="8.36328125" customWidth="1"/>
    <col min="14" max="14" width="8.6328125" customWidth="1"/>
    <col min="15" max="15" width="6.08984375" customWidth="1"/>
    <col min="16" max="16" width="8.453125" customWidth="1"/>
    <col min="17" max="17" width="8.6328125" customWidth="1"/>
    <col min="18" max="18" width="6.08984375" customWidth="1"/>
    <col min="20" max="21" width="14" customWidth="1"/>
    <col min="22" max="22" width="6.36328125" customWidth="1"/>
    <col min="23" max="23" width="10.7265625" customWidth="1"/>
    <col min="24" max="24" width="12.26953125" customWidth="1"/>
    <col min="25" max="25" width="37.7265625" customWidth="1"/>
  </cols>
  <sheetData>
    <row r="1" spans="1:26" ht="13">
      <c r="A1" s="1" t="s">
        <v>12</v>
      </c>
      <c r="B1" s="1" t="s">
        <v>437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438</v>
      </c>
      <c r="H1" s="1" t="s">
        <v>439</v>
      </c>
      <c r="I1" s="1" t="s">
        <v>18</v>
      </c>
      <c r="J1" s="108" t="s">
        <v>440</v>
      </c>
      <c r="K1" s="109"/>
      <c r="L1" s="109"/>
      <c r="M1" s="108" t="s">
        <v>441</v>
      </c>
      <c r="N1" s="109"/>
      <c r="O1" s="109"/>
      <c r="P1" s="108" t="s">
        <v>442</v>
      </c>
      <c r="Q1" s="109"/>
      <c r="R1" s="109"/>
      <c r="S1" s="1" t="s">
        <v>17</v>
      </c>
      <c r="T1" s="1" t="s">
        <v>13</v>
      </c>
      <c r="U1" s="1" t="s">
        <v>4</v>
      </c>
      <c r="V1" s="61" t="s">
        <v>14</v>
      </c>
      <c r="W1" s="1" t="s">
        <v>15</v>
      </c>
      <c r="X1" s="1" t="s">
        <v>16</v>
      </c>
      <c r="Y1" s="1" t="s">
        <v>443</v>
      </c>
      <c r="Z1" s="1" t="s">
        <v>444</v>
      </c>
    </row>
    <row r="2" spans="1:26" ht="21" customHeight="1">
      <c r="A2" s="1" t="s">
        <v>5</v>
      </c>
      <c r="B2" s="62"/>
      <c r="C2" s="62" t="s">
        <v>445</v>
      </c>
      <c r="D2" s="62" t="s">
        <v>446</v>
      </c>
      <c r="E2" s="1"/>
      <c r="F2" s="63" t="s">
        <v>447</v>
      </c>
      <c r="G2" s="1"/>
      <c r="H2" s="4"/>
      <c r="I2" s="4" t="s">
        <v>448</v>
      </c>
      <c r="J2" s="64" t="s">
        <v>449</v>
      </c>
      <c r="K2" s="65" t="s">
        <v>450</v>
      </c>
      <c r="L2" s="64" t="s">
        <v>451</v>
      </c>
      <c r="M2" s="64" t="s">
        <v>449</v>
      </c>
      <c r="N2" s="65" t="s">
        <v>450</v>
      </c>
      <c r="O2" s="64" t="s">
        <v>451</v>
      </c>
      <c r="P2" s="64" t="s">
        <v>449</v>
      </c>
      <c r="Q2" s="65" t="s">
        <v>450</v>
      </c>
      <c r="R2" s="64" t="s">
        <v>451</v>
      </c>
      <c r="S2" s="8"/>
      <c r="T2" s="8"/>
      <c r="U2" s="8"/>
      <c r="V2" s="8"/>
      <c r="W2" s="8"/>
      <c r="X2" s="8">
        <v>45658</v>
      </c>
    </row>
    <row r="3" spans="1:26" ht="16.5" customHeight="1">
      <c r="A3" s="1" t="s">
        <v>5</v>
      </c>
      <c r="B3" s="62"/>
      <c r="C3" s="62" t="s">
        <v>452</v>
      </c>
      <c r="D3" s="62" t="s">
        <v>453</v>
      </c>
      <c r="E3" s="1">
        <v>5215531901899</v>
      </c>
      <c r="F3" s="1" t="s">
        <v>454</v>
      </c>
      <c r="G3" s="1"/>
      <c r="H3" s="4"/>
      <c r="I3" s="4" t="s">
        <v>448</v>
      </c>
      <c r="J3" s="66" t="b">
        <v>0</v>
      </c>
      <c r="K3" s="67" t="b">
        <v>0</v>
      </c>
      <c r="L3" s="68" t="b">
        <v>0</v>
      </c>
      <c r="M3" s="66" t="b">
        <v>0</v>
      </c>
      <c r="N3" s="67" t="b">
        <v>0</v>
      </c>
      <c r="O3" s="68" t="b">
        <v>0</v>
      </c>
      <c r="P3" s="66" t="b">
        <v>0</v>
      </c>
      <c r="Q3" s="67" t="b">
        <v>0</v>
      </c>
      <c r="R3" s="68" t="b">
        <v>0</v>
      </c>
      <c r="S3" s="8"/>
      <c r="T3" s="8"/>
      <c r="U3" s="8"/>
      <c r="V3" s="8"/>
      <c r="W3" s="8"/>
      <c r="X3" s="8">
        <v>45689</v>
      </c>
      <c r="Y3" s="4" t="s">
        <v>455</v>
      </c>
      <c r="Z3" s="4"/>
    </row>
    <row r="4" spans="1:26" ht="13">
      <c r="A4" s="1" t="s">
        <v>5</v>
      </c>
      <c r="B4" s="1"/>
      <c r="C4" s="1" t="s">
        <v>456</v>
      </c>
      <c r="D4" s="1" t="s">
        <v>457</v>
      </c>
      <c r="E4" s="1">
        <v>34722134659</v>
      </c>
      <c r="F4" s="1" t="s">
        <v>83</v>
      </c>
      <c r="G4" s="1" t="s">
        <v>458</v>
      </c>
      <c r="H4" s="4"/>
      <c r="I4" s="4" t="s">
        <v>459</v>
      </c>
      <c r="J4" s="66" t="b">
        <v>0</v>
      </c>
      <c r="K4" s="67" t="b">
        <v>0</v>
      </c>
      <c r="L4" s="68" t="b">
        <v>0</v>
      </c>
      <c r="M4" s="66" t="b">
        <v>0</v>
      </c>
      <c r="N4" s="67" t="b">
        <v>0</v>
      </c>
      <c r="O4" s="68" t="b">
        <v>0</v>
      </c>
      <c r="P4" s="66" t="b">
        <v>0</v>
      </c>
      <c r="Q4" s="67" t="b">
        <v>0</v>
      </c>
      <c r="R4" s="68" t="b">
        <v>0</v>
      </c>
      <c r="S4" s="8"/>
    </row>
    <row r="5" spans="1:26" ht="13">
      <c r="A5" s="1" t="s">
        <v>5</v>
      </c>
      <c r="B5" s="1"/>
      <c r="C5" s="1" t="s">
        <v>460</v>
      </c>
      <c r="D5" s="1" t="s">
        <v>461</v>
      </c>
      <c r="E5" s="1">
        <v>34627196186</v>
      </c>
      <c r="F5" s="1" t="s">
        <v>310</v>
      </c>
      <c r="G5" s="1" t="s">
        <v>462</v>
      </c>
      <c r="H5" s="4"/>
      <c r="I5" s="4" t="s">
        <v>459</v>
      </c>
      <c r="J5" s="66" t="b">
        <v>0</v>
      </c>
      <c r="K5" s="67" t="b">
        <v>0</v>
      </c>
      <c r="L5" s="68" t="b">
        <v>0</v>
      </c>
      <c r="M5" s="66" t="b">
        <v>0</v>
      </c>
      <c r="N5" s="67" t="b">
        <v>0</v>
      </c>
      <c r="O5" s="68" t="b">
        <v>0</v>
      </c>
      <c r="P5" s="66" t="b">
        <v>0</v>
      </c>
      <c r="Q5" s="67" t="b">
        <v>0</v>
      </c>
      <c r="R5" s="68" t="b">
        <v>0</v>
      </c>
      <c r="S5" s="8"/>
    </row>
    <row r="6" spans="1:26" ht="13">
      <c r="A6" s="1" t="s">
        <v>5</v>
      </c>
      <c r="B6" s="1"/>
      <c r="C6" s="1" t="s">
        <v>463</v>
      </c>
      <c r="D6" s="1" t="s">
        <v>464</v>
      </c>
      <c r="E6" s="1">
        <v>573208805398</v>
      </c>
      <c r="F6" s="1" t="s">
        <v>82</v>
      </c>
      <c r="G6" s="1" t="s">
        <v>465</v>
      </c>
      <c r="H6" s="4"/>
      <c r="I6" s="4" t="s">
        <v>459</v>
      </c>
      <c r="J6" s="66" t="b">
        <v>0</v>
      </c>
      <c r="K6" s="67" t="b">
        <v>0</v>
      </c>
      <c r="L6" s="68" t="b">
        <v>0</v>
      </c>
      <c r="M6" s="66" t="b">
        <v>0</v>
      </c>
      <c r="N6" s="67" t="b">
        <v>0</v>
      </c>
      <c r="O6" s="68" t="b">
        <v>0</v>
      </c>
      <c r="P6" s="66" t="b">
        <v>0</v>
      </c>
      <c r="Q6" s="67" t="b">
        <v>0</v>
      </c>
      <c r="R6" s="68" t="b">
        <v>0</v>
      </c>
      <c r="S6" s="8"/>
    </row>
    <row r="7" spans="1:26" ht="13">
      <c r="A7" s="1" t="s">
        <v>5</v>
      </c>
      <c r="B7" s="1"/>
      <c r="C7" s="1" t="s">
        <v>466</v>
      </c>
      <c r="D7" s="1" t="s">
        <v>467</v>
      </c>
      <c r="E7" s="1">
        <v>34606965727</v>
      </c>
      <c r="F7" s="1" t="s">
        <v>395</v>
      </c>
      <c r="G7" s="1" t="s">
        <v>468</v>
      </c>
      <c r="H7" s="4"/>
      <c r="I7" s="4" t="s">
        <v>459</v>
      </c>
      <c r="J7" s="66" t="b">
        <v>0</v>
      </c>
      <c r="K7" s="67" t="b">
        <v>0</v>
      </c>
      <c r="L7" s="68" t="b">
        <v>0</v>
      </c>
      <c r="M7" s="66" t="b">
        <v>0</v>
      </c>
      <c r="N7" s="67" t="b">
        <v>0</v>
      </c>
      <c r="O7" s="68" t="b">
        <v>0</v>
      </c>
      <c r="P7" s="66" t="b">
        <v>0</v>
      </c>
      <c r="Q7" s="67" t="b">
        <v>0</v>
      </c>
      <c r="R7" s="68" t="b">
        <v>0</v>
      </c>
      <c r="S7" s="8"/>
    </row>
    <row r="8" spans="1:26" ht="13">
      <c r="A8" s="1" t="s">
        <v>5</v>
      </c>
      <c r="B8" s="1"/>
      <c r="C8" s="1" t="s">
        <v>469</v>
      </c>
      <c r="D8" s="1" t="s">
        <v>470</v>
      </c>
      <c r="E8" s="1">
        <v>59178400932</v>
      </c>
      <c r="F8" s="1" t="s">
        <v>343</v>
      </c>
      <c r="G8" s="1" t="s">
        <v>471</v>
      </c>
      <c r="H8" s="4"/>
      <c r="I8" s="4" t="s">
        <v>459</v>
      </c>
      <c r="J8" s="66" t="b">
        <v>0</v>
      </c>
      <c r="K8" s="67" t="b">
        <v>0</v>
      </c>
      <c r="L8" s="68" t="b">
        <v>0</v>
      </c>
      <c r="M8" s="66" t="b">
        <v>0</v>
      </c>
      <c r="N8" s="67" t="b">
        <v>0</v>
      </c>
      <c r="O8" s="68" t="b">
        <v>0</v>
      </c>
      <c r="P8" s="66" t="b">
        <v>0</v>
      </c>
      <c r="Q8" s="67" t="b">
        <v>0</v>
      </c>
      <c r="R8" s="68" t="b">
        <v>0</v>
      </c>
      <c r="S8" s="8"/>
    </row>
    <row r="9" spans="1:26" ht="13">
      <c r="A9" s="1" t="s">
        <v>5</v>
      </c>
      <c r="B9" s="1"/>
      <c r="C9" s="1" t="s">
        <v>472</v>
      </c>
      <c r="D9" s="1" t="s">
        <v>473</v>
      </c>
      <c r="E9" s="1">
        <v>526145342278</v>
      </c>
      <c r="F9" s="1" t="s">
        <v>140</v>
      </c>
      <c r="G9" s="1" t="s">
        <v>474</v>
      </c>
      <c r="H9" s="4"/>
      <c r="I9" s="4" t="s">
        <v>459</v>
      </c>
      <c r="J9" s="66" t="b">
        <v>0</v>
      </c>
      <c r="K9" s="67" t="b">
        <v>0</v>
      </c>
      <c r="L9" s="68" t="b">
        <v>0</v>
      </c>
      <c r="M9" s="66" t="b">
        <v>0</v>
      </c>
      <c r="N9" s="67" t="b">
        <v>0</v>
      </c>
      <c r="O9" s="68" t="b">
        <v>0</v>
      </c>
      <c r="P9" s="66" t="b">
        <v>0</v>
      </c>
      <c r="Q9" s="67" t="b">
        <v>0</v>
      </c>
      <c r="R9" s="68" t="b">
        <v>0</v>
      </c>
      <c r="S9" s="8"/>
    </row>
    <row r="10" spans="1:26" ht="13">
      <c r="A10" s="1" t="s">
        <v>5</v>
      </c>
      <c r="B10" s="1"/>
      <c r="C10" s="1" t="s">
        <v>475</v>
      </c>
      <c r="D10" s="1" t="s">
        <v>476</v>
      </c>
      <c r="E10" s="1">
        <v>34682070800</v>
      </c>
      <c r="F10" s="1" t="s">
        <v>477</v>
      </c>
      <c r="G10" s="1" t="s">
        <v>478</v>
      </c>
      <c r="H10" s="4"/>
      <c r="I10" s="4" t="s">
        <v>459</v>
      </c>
      <c r="J10" s="66" t="b">
        <v>0</v>
      </c>
      <c r="K10" s="67" t="b">
        <v>0</v>
      </c>
      <c r="L10" s="68" t="b">
        <v>0</v>
      </c>
      <c r="M10" s="66" t="b">
        <v>0</v>
      </c>
      <c r="N10" s="67" t="b">
        <v>0</v>
      </c>
      <c r="O10" s="68" t="b">
        <v>0</v>
      </c>
      <c r="P10" s="66" t="b">
        <v>0</v>
      </c>
      <c r="Q10" s="67" t="b">
        <v>0</v>
      </c>
      <c r="R10" s="68" t="b">
        <v>0</v>
      </c>
      <c r="S10" s="8"/>
    </row>
    <row r="11" spans="1:26" ht="13">
      <c r="A11" s="1" t="s">
        <v>5</v>
      </c>
      <c r="B11" s="1"/>
      <c r="C11" s="1" t="s">
        <v>479</v>
      </c>
      <c r="D11" s="1" t="s">
        <v>480</v>
      </c>
      <c r="E11" s="1">
        <v>5491141697704</v>
      </c>
      <c r="F11" s="1" t="s">
        <v>481</v>
      </c>
      <c r="G11" s="1" t="s">
        <v>482</v>
      </c>
      <c r="H11" s="4"/>
      <c r="I11" s="4" t="s">
        <v>459</v>
      </c>
      <c r="J11" s="66" t="b">
        <v>0</v>
      </c>
      <c r="K11" s="67" t="b">
        <v>0</v>
      </c>
      <c r="L11" s="68" t="b">
        <v>0</v>
      </c>
      <c r="M11" s="66" t="b">
        <v>0</v>
      </c>
      <c r="N11" s="67" t="b">
        <v>0</v>
      </c>
      <c r="O11" s="68" t="b">
        <v>0</v>
      </c>
      <c r="P11" s="66" t="b">
        <v>0</v>
      </c>
      <c r="Q11" s="67" t="b">
        <v>0</v>
      </c>
      <c r="R11" s="68" t="b">
        <v>0</v>
      </c>
      <c r="S11" s="8"/>
    </row>
    <row r="12" spans="1:26" ht="13">
      <c r="A12" s="1" t="s">
        <v>5</v>
      </c>
      <c r="B12" s="1"/>
      <c r="C12" s="1" t="s">
        <v>483</v>
      </c>
      <c r="D12" s="1" t="s">
        <v>484</v>
      </c>
      <c r="E12" s="1">
        <v>34603621559</v>
      </c>
      <c r="F12" s="1" t="s">
        <v>140</v>
      </c>
      <c r="G12" s="1" t="s">
        <v>485</v>
      </c>
      <c r="H12" s="4"/>
      <c r="I12" s="4" t="s">
        <v>459</v>
      </c>
      <c r="J12" s="66" t="b">
        <v>0</v>
      </c>
      <c r="K12" s="67" t="b">
        <v>0</v>
      </c>
      <c r="L12" s="68" t="b">
        <v>0</v>
      </c>
      <c r="M12" s="66" t="b">
        <v>0</v>
      </c>
      <c r="N12" s="67" t="b">
        <v>0</v>
      </c>
      <c r="O12" s="68" t="b">
        <v>0</v>
      </c>
      <c r="P12" s="66" t="b">
        <v>0</v>
      </c>
      <c r="Q12" s="67" t="b">
        <v>0</v>
      </c>
      <c r="R12" s="68" t="b">
        <v>0</v>
      </c>
      <c r="S12" s="8"/>
    </row>
    <row r="13" spans="1:26" ht="13">
      <c r="A13" s="1" t="s">
        <v>5</v>
      </c>
      <c r="B13" s="1"/>
      <c r="C13" s="1" t="s">
        <v>486</v>
      </c>
      <c r="D13" s="1" t="s">
        <v>487</v>
      </c>
      <c r="E13" s="1">
        <v>527226812485</v>
      </c>
      <c r="F13" s="1" t="s">
        <v>488</v>
      </c>
      <c r="G13" s="1" t="s">
        <v>489</v>
      </c>
      <c r="H13" s="4"/>
      <c r="I13" s="4" t="s">
        <v>459</v>
      </c>
      <c r="J13" s="66" t="b">
        <v>0</v>
      </c>
      <c r="K13" s="67" t="b">
        <v>0</v>
      </c>
      <c r="L13" s="68" t="b">
        <v>0</v>
      </c>
      <c r="M13" s="66" t="b">
        <v>0</v>
      </c>
      <c r="N13" s="67" t="b">
        <v>0</v>
      </c>
      <c r="O13" s="68" t="b">
        <v>0</v>
      </c>
      <c r="P13" s="66" t="b">
        <v>0</v>
      </c>
      <c r="Q13" s="67" t="b">
        <v>0</v>
      </c>
      <c r="R13" s="68" t="b">
        <v>0</v>
      </c>
      <c r="S13" s="8"/>
    </row>
    <row r="14" spans="1:26" ht="13">
      <c r="A14" s="1" t="s">
        <v>5</v>
      </c>
      <c r="B14" s="1"/>
      <c r="C14" s="1" t="s">
        <v>490</v>
      </c>
      <c r="D14" s="1" t="s">
        <v>491</v>
      </c>
      <c r="E14" s="1">
        <v>12034147503</v>
      </c>
      <c r="F14" s="1" t="s">
        <v>492</v>
      </c>
      <c r="G14" s="1" t="s">
        <v>493</v>
      </c>
      <c r="H14" s="4"/>
      <c r="I14" s="4" t="s">
        <v>459</v>
      </c>
      <c r="J14" s="66" t="b">
        <v>0</v>
      </c>
      <c r="K14" s="67" t="b">
        <v>0</v>
      </c>
      <c r="L14" s="68" t="b">
        <v>0</v>
      </c>
      <c r="M14" s="66" t="b">
        <v>0</v>
      </c>
      <c r="N14" s="67" t="b">
        <v>0</v>
      </c>
      <c r="O14" s="68" t="b">
        <v>0</v>
      </c>
      <c r="P14" s="66" t="b">
        <v>0</v>
      </c>
      <c r="Q14" s="67" t="b">
        <v>0</v>
      </c>
      <c r="R14" s="68" t="b">
        <v>0</v>
      </c>
      <c r="S14" s="8"/>
    </row>
    <row r="15" spans="1:26" ht="13">
      <c r="A15" s="1" t="s">
        <v>5</v>
      </c>
      <c r="B15" s="1"/>
      <c r="C15" s="1" t="s">
        <v>494</v>
      </c>
      <c r="D15" s="1" t="s">
        <v>495</v>
      </c>
      <c r="E15" s="1">
        <v>34625025240</v>
      </c>
      <c r="F15" s="1" t="s">
        <v>496</v>
      </c>
      <c r="G15" s="1" t="s">
        <v>497</v>
      </c>
      <c r="H15" s="4"/>
      <c r="I15" s="4" t="s">
        <v>459</v>
      </c>
      <c r="J15" s="66" t="b">
        <v>0</v>
      </c>
      <c r="K15" s="67" t="b">
        <v>0</v>
      </c>
      <c r="L15" s="68" t="b">
        <v>0</v>
      </c>
      <c r="M15" s="66" t="b">
        <v>0</v>
      </c>
      <c r="N15" s="67" t="b">
        <v>0</v>
      </c>
      <c r="O15" s="68" t="b">
        <v>0</v>
      </c>
      <c r="P15" s="66" t="b">
        <v>0</v>
      </c>
      <c r="Q15" s="67" t="b">
        <v>0</v>
      </c>
      <c r="R15" s="68" t="b">
        <v>0</v>
      </c>
      <c r="S15" s="8"/>
    </row>
    <row r="16" spans="1:26" ht="13">
      <c r="A16" s="1" t="s">
        <v>5</v>
      </c>
      <c r="B16" s="1"/>
      <c r="C16" s="1" t="s">
        <v>498</v>
      </c>
      <c r="D16" s="1" t="s">
        <v>499</v>
      </c>
      <c r="E16" s="1">
        <v>34620687497</v>
      </c>
      <c r="F16" s="1" t="s">
        <v>500</v>
      </c>
      <c r="G16" s="1" t="s">
        <v>501</v>
      </c>
      <c r="H16" s="4"/>
      <c r="I16" s="4" t="s">
        <v>459</v>
      </c>
      <c r="J16" s="66" t="b">
        <v>0</v>
      </c>
      <c r="K16" s="67" t="b">
        <v>0</v>
      </c>
      <c r="L16" s="68" t="b">
        <v>0</v>
      </c>
      <c r="M16" s="66" t="b">
        <v>0</v>
      </c>
      <c r="N16" s="67" t="b">
        <v>0</v>
      </c>
      <c r="O16" s="68" t="b">
        <v>0</v>
      </c>
      <c r="P16" s="66" t="b">
        <v>0</v>
      </c>
      <c r="Q16" s="67" t="b">
        <v>0</v>
      </c>
      <c r="R16" s="68" t="b">
        <v>0</v>
      </c>
      <c r="S16" s="8"/>
    </row>
    <row r="17" spans="1:24" ht="13">
      <c r="A17" s="1" t="s">
        <v>5</v>
      </c>
      <c r="B17" s="1"/>
      <c r="C17" s="1" t="s">
        <v>502</v>
      </c>
      <c r="D17" s="1" t="s">
        <v>503</v>
      </c>
      <c r="E17" s="1">
        <v>16466066656</v>
      </c>
      <c r="F17" s="1" t="s">
        <v>504</v>
      </c>
      <c r="G17" s="1" t="s">
        <v>505</v>
      </c>
      <c r="H17" s="4"/>
      <c r="I17" s="4" t="s">
        <v>459</v>
      </c>
      <c r="J17" s="66" t="b">
        <v>0</v>
      </c>
      <c r="K17" s="67" t="b">
        <v>0</v>
      </c>
      <c r="L17" s="68" t="b">
        <v>0</v>
      </c>
      <c r="M17" s="66" t="b">
        <v>0</v>
      </c>
      <c r="N17" s="67" t="b">
        <v>0</v>
      </c>
      <c r="O17" s="68" t="b">
        <v>0</v>
      </c>
      <c r="P17" s="66" t="b">
        <v>0</v>
      </c>
      <c r="Q17" s="67" t="b">
        <v>0</v>
      </c>
      <c r="R17" s="68" t="b">
        <v>0</v>
      </c>
      <c r="S17" s="8"/>
    </row>
    <row r="18" spans="1:24" ht="14.5">
      <c r="A18" s="1" t="s">
        <v>5</v>
      </c>
      <c r="B18" s="69"/>
      <c r="C18" s="69" t="s">
        <v>506</v>
      </c>
      <c r="D18" s="69" t="s">
        <v>507</v>
      </c>
      <c r="E18" s="1">
        <v>34687224266</v>
      </c>
      <c r="F18" s="63" t="s">
        <v>140</v>
      </c>
      <c r="G18" s="1" t="s">
        <v>508</v>
      </c>
      <c r="H18" s="4"/>
      <c r="I18" s="4" t="s">
        <v>448</v>
      </c>
      <c r="J18" s="66" t="b">
        <v>0</v>
      </c>
      <c r="K18" s="67" t="b">
        <v>0</v>
      </c>
      <c r="L18" s="68" t="b">
        <v>0</v>
      </c>
      <c r="M18" s="66" t="b">
        <v>0</v>
      </c>
      <c r="N18" s="67" t="b">
        <v>0</v>
      </c>
      <c r="O18" s="68" t="b">
        <v>0</v>
      </c>
      <c r="P18" s="66" t="b">
        <v>0</v>
      </c>
      <c r="Q18" s="67" t="b">
        <v>0</v>
      </c>
      <c r="R18" s="68" t="b">
        <v>0</v>
      </c>
      <c r="S18" s="8"/>
      <c r="T18" s="8"/>
      <c r="U18" s="8"/>
      <c r="V18" s="8"/>
      <c r="W18" s="8"/>
      <c r="X18" s="8">
        <v>45658</v>
      </c>
    </row>
    <row r="19" spans="1:24" ht="14.5">
      <c r="A19" s="1" t="s">
        <v>5</v>
      </c>
      <c r="B19" s="69"/>
      <c r="C19" s="69" t="s">
        <v>509</v>
      </c>
      <c r="D19" s="69" t="s">
        <v>510</v>
      </c>
      <c r="E19" s="1">
        <v>558184731482</v>
      </c>
      <c r="F19" s="63" t="s">
        <v>481</v>
      </c>
      <c r="G19" s="1" t="s">
        <v>511</v>
      </c>
      <c r="H19" s="4"/>
      <c r="I19" s="4" t="s">
        <v>459</v>
      </c>
      <c r="J19" s="66" t="b">
        <v>0</v>
      </c>
      <c r="K19" s="67" t="b">
        <v>0</v>
      </c>
      <c r="L19" s="68" t="b">
        <v>0</v>
      </c>
      <c r="M19" s="66" t="b">
        <v>0</v>
      </c>
      <c r="N19" s="67" t="b">
        <v>0</v>
      </c>
      <c r="O19" s="68" t="b">
        <v>0</v>
      </c>
      <c r="P19" s="66" t="b">
        <v>0</v>
      </c>
      <c r="Q19" s="67" t="b">
        <v>0</v>
      </c>
      <c r="R19" s="68" t="b">
        <v>0</v>
      </c>
      <c r="S19" s="8"/>
    </row>
    <row r="20" spans="1:24" ht="14.5">
      <c r="A20" s="1" t="s">
        <v>5</v>
      </c>
      <c r="B20" s="69"/>
      <c r="C20" s="69" t="s">
        <v>512</v>
      </c>
      <c r="D20" s="69" t="s">
        <v>513</v>
      </c>
      <c r="E20" s="1">
        <v>513152002912</v>
      </c>
      <c r="F20" s="63" t="s">
        <v>343</v>
      </c>
      <c r="G20" s="1" t="s">
        <v>514</v>
      </c>
      <c r="H20" s="4"/>
      <c r="I20" s="4" t="s">
        <v>459</v>
      </c>
      <c r="J20" s="66" t="b">
        <v>0</v>
      </c>
      <c r="K20" s="67" t="b">
        <v>0</v>
      </c>
      <c r="L20" s="68" t="b">
        <v>0</v>
      </c>
      <c r="M20" s="66" t="b">
        <v>0</v>
      </c>
      <c r="N20" s="67" t="b">
        <v>0</v>
      </c>
      <c r="O20" s="68" t="b">
        <v>0</v>
      </c>
      <c r="P20" s="66" t="b">
        <v>0</v>
      </c>
      <c r="Q20" s="67" t="b">
        <v>0</v>
      </c>
      <c r="R20" s="68" t="b">
        <v>0</v>
      </c>
      <c r="S20" s="8"/>
    </row>
    <row r="21" spans="1:24" ht="14.5">
      <c r="A21" s="1" t="s">
        <v>5</v>
      </c>
      <c r="B21" s="69"/>
      <c r="C21" s="69" t="s">
        <v>515</v>
      </c>
      <c r="D21" s="69" t="s">
        <v>516</v>
      </c>
      <c r="E21" s="1">
        <v>34646739096</v>
      </c>
      <c r="F21" s="63" t="s">
        <v>335</v>
      </c>
      <c r="G21" s="1" t="s">
        <v>517</v>
      </c>
      <c r="H21" s="4"/>
      <c r="I21" s="4" t="s">
        <v>459</v>
      </c>
      <c r="J21" s="66" t="b">
        <v>0</v>
      </c>
      <c r="K21" s="67" t="b">
        <v>0</v>
      </c>
      <c r="L21" s="68" t="b">
        <v>0</v>
      </c>
      <c r="M21" s="66" t="b">
        <v>0</v>
      </c>
      <c r="N21" s="67" t="b">
        <v>0</v>
      </c>
      <c r="O21" s="68" t="b">
        <v>0</v>
      </c>
      <c r="P21" s="66" t="b">
        <v>0</v>
      </c>
      <c r="Q21" s="67" t="b">
        <v>0</v>
      </c>
      <c r="R21" s="68" t="b">
        <v>0</v>
      </c>
      <c r="S21" s="8"/>
    </row>
    <row r="22" spans="1:24" ht="14.5">
      <c r="A22" s="1" t="s">
        <v>5</v>
      </c>
      <c r="B22" s="69"/>
      <c r="C22" s="69" t="s">
        <v>518</v>
      </c>
      <c r="D22" s="69" t="s">
        <v>519</v>
      </c>
      <c r="E22" s="1">
        <v>34638591225</v>
      </c>
      <c r="F22" s="63" t="s">
        <v>83</v>
      </c>
      <c r="G22" s="1" t="s">
        <v>520</v>
      </c>
      <c r="H22" s="4"/>
      <c r="I22" s="4" t="s">
        <v>459</v>
      </c>
      <c r="J22" s="66" t="b">
        <v>0</v>
      </c>
      <c r="K22" s="67" t="b">
        <v>0</v>
      </c>
      <c r="L22" s="68" t="b">
        <v>0</v>
      </c>
      <c r="M22" s="66" t="b">
        <v>0</v>
      </c>
      <c r="N22" s="67" t="b">
        <v>0</v>
      </c>
      <c r="O22" s="68" t="b">
        <v>0</v>
      </c>
      <c r="P22" s="66" t="b">
        <v>0</v>
      </c>
      <c r="Q22" s="67" t="b">
        <v>0</v>
      </c>
      <c r="R22" s="68" t="b">
        <v>0</v>
      </c>
      <c r="S22" s="8"/>
    </row>
    <row r="23" spans="1:24" ht="14.5">
      <c r="A23" s="1" t="s">
        <v>5</v>
      </c>
      <c r="B23" s="69"/>
      <c r="C23" s="69" t="s">
        <v>521</v>
      </c>
      <c r="D23" s="69" t="s">
        <v>522</v>
      </c>
      <c r="E23" s="1">
        <v>34690233514</v>
      </c>
      <c r="F23" s="63" t="s">
        <v>496</v>
      </c>
      <c r="G23" s="1" t="s">
        <v>523</v>
      </c>
      <c r="H23" s="4"/>
      <c r="I23" s="4" t="s">
        <v>459</v>
      </c>
      <c r="J23" s="66" t="b">
        <v>0</v>
      </c>
      <c r="K23" s="67" t="b">
        <v>0</v>
      </c>
      <c r="L23" s="68" t="b">
        <v>0</v>
      </c>
      <c r="M23" s="66" t="b">
        <v>0</v>
      </c>
      <c r="N23" s="67" t="b">
        <v>0</v>
      </c>
      <c r="O23" s="68" t="b">
        <v>0</v>
      </c>
      <c r="P23" s="66" t="b">
        <v>0</v>
      </c>
      <c r="Q23" s="67" t="b">
        <v>0</v>
      </c>
      <c r="R23" s="68" t="b">
        <v>0</v>
      </c>
      <c r="S23" s="8"/>
    </row>
    <row r="24" spans="1:24" ht="14.5">
      <c r="A24" s="1" t="s">
        <v>5</v>
      </c>
      <c r="B24" s="69"/>
      <c r="C24" s="69" t="s">
        <v>460</v>
      </c>
      <c r="D24" s="69" t="s">
        <v>461</v>
      </c>
      <c r="E24" s="1">
        <v>34627196186</v>
      </c>
      <c r="F24" s="63" t="s">
        <v>524</v>
      </c>
      <c r="G24" s="1" t="s">
        <v>525</v>
      </c>
      <c r="H24" s="4"/>
      <c r="I24" s="4" t="s">
        <v>459</v>
      </c>
      <c r="J24" s="66" t="b">
        <v>0</v>
      </c>
      <c r="K24" s="67" t="b">
        <v>0</v>
      </c>
      <c r="L24" s="68" t="b">
        <v>0</v>
      </c>
      <c r="M24" s="66" t="b">
        <v>0</v>
      </c>
      <c r="N24" s="67" t="b">
        <v>0</v>
      </c>
      <c r="O24" s="68" t="b">
        <v>0</v>
      </c>
      <c r="P24" s="66" t="b">
        <v>0</v>
      </c>
      <c r="Q24" s="67" t="b">
        <v>0</v>
      </c>
      <c r="R24" s="68" t="b">
        <v>0</v>
      </c>
      <c r="S24" s="8"/>
    </row>
    <row r="25" spans="1:24" ht="14.5">
      <c r="A25" s="1" t="s">
        <v>5</v>
      </c>
      <c r="B25" s="69"/>
      <c r="C25" s="69" t="s">
        <v>526</v>
      </c>
      <c r="D25" s="69" t="s">
        <v>527</v>
      </c>
      <c r="E25" s="1">
        <v>542364301592</v>
      </c>
      <c r="F25" s="63" t="s">
        <v>528</v>
      </c>
      <c r="G25" s="1" t="s">
        <v>529</v>
      </c>
      <c r="H25" s="4"/>
      <c r="I25" s="4" t="s">
        <v>459</v>
      </c>
      <c r="J25" s="66" t="b">
        <v>0</v>
      </c>
      <c r="K25" s="67" t="b">
        <v>0</v>
      </c>
      <c r="L25" s="68" t="b">
        <v>0</v>
      </c>
      <c r="M25" s="66" t="b">
        <v>0</v>
      </c>
      <c r="N25" s="67" t="b">
        <v>0</v>
      </c>
      <c r="O25" s="68" t="b">
        <v>0</v>
      </c>
      <c r="P25" s="66" t="b">
        <v>0</v>
      </c>
      <c r="Q25" s="67" t="b">
        <v>0</v>
      </c>
      <c r="R25" s="68" t="b">
        <v>0</v>
      </c>
      <c r="S25" s="8"/>
    </row>
    <row r="26" spans="1:24" ht="14.5">
      <c r="A26" s="1" t="s">
        <v>5</v>
      </c>
      <c r="B26" s="69"/>
      <c r="C26" s="69" t="s">
        <v>530</v>
      </c>
      <c r="D26" s="69" t="s">
        <v>531</v>
      </c>
      <c r="E26" s="1">
        <v>34639099744</v>
      </c>
      <c r="F26" s="63" t="s">
        <v>492</v>
      </c>
      <c r="G26" s="1" t="s">
        <v>532</v>
      </c>
      <c r="H26" s="4"/>
      <c r="I26" s="4" t="s">
        <v>459</v>
      </c>
      <c r="J26" s="66" t="b">
        <v>0</v>
      </c>
      <c r="K26" s="67" t="b">
        <v>0</v>
      </c>
      <c r="L26" s="68" t="b">
        <v>0</v>
      </c>
      <c r="M26" s="66" t="b">
        <v>0</v>
      </c>
      <c r="N26" s="67" t="b">
        <v>0</v>
      </c>
      <c r="O26" s="68" t="b">
        <v>0</v>
      </c>
      <c r="P26" s="66" t="b">
        <v>0</v>
      </c>
      <c r="Q26" s="67" t="b">
        <v>0</v>
      </c>
      <c r="R26" s="68" t="b">
        <v>0</v>
      </c>
      <c r="S26" s="8"/>
    </row>
    <row r="27" spans="1:24" ht="14.5">
      <c r="A27" s="1" t="s">
        <v>5</v>
      </c>
      <c r="B27" s="69"/>
      <c r="C27" s="69" t="s">
        <v>533</v>
      </c>
      <c r="D27" s="69" t="s">
        <v>534</v>
      </c>
      <c r="E27" s="1">
        <v>12245313554</v>
      </c>
      <c r="F27" s="63" t="s">
        <v>535</v>
      </c>
      <c r="G27" s="1" t="s">
        <v>536</v>
      </c>
      <c r="H27" s="4"/>
      <c r="I27" s="4" t="s">
        <v>459</v>
      </c>
      <c r="J27" s="66" t="b">
        <v>0</v>
      </c>
      <c r="K27" s="67" t="b">
        <v>0</v>
      </c>
      <c r="L27" s="68" t="b">
        <v>0</v>
      </c>
      <c r="M27" s="66" t="b">
        <v>0</v>
      </c>
      <c r="N27" s="67" t="b">
        <v>0</v>
      </c>
      <c r="O27" s="68" t="b">
        <v>0</v>
      </c>
      <c r="P27" s="66" t="b">
        <v>0</v>
      </c>
      <c r="Q27" s="67" t="b">
        <v>0</v>
      </c>
      <c r="R27" s="68" t="b">
        <v>0</v>
      </c>
      <c r="S27" s="8"/>
    </row>
    <row r="28" spans="1:24" ht="14.5">
      <c r="A28" s="1" t="s">
        <v>5</v>
      </c>
      <c r="B28" s="69"/>
      <c r="C28" s="69" t="s">
        <v>537</v>
      </c>
      <c r="D28" s="69" t="s">
        <v>538</v>
      </c>
      <c r="E28" s="1">
        <v>528712363437</v>
      </c>
      <c r="F28" s="63" t="s">
        <v>69</v>
      </c>
      <c r="G28" s="1" t="s">
        <v>539</v>
      </c>
      <c r="H28" s="4"/>
      <c r="I28" s="4" t="s">
        <v>459</v>
      </c>
      <c r="J28" s="66" t="b">
        <v>0</v>
      </c>
      <c r="K28" s="67" t="b">
        <v>0</v>
      </c>
      <c r="L28" s="68" t="b">
        <v>0</v>
      </c>
      <c r="M28" s="66" t="b">
        <v>0</v>
      </c>
      <c r="N28" s="67" t="b">
        <v>0</v>
      </c>
      <c r="O28" s="68" t="b">
        <v>0</v>
      </c>
      <c r="P28" s="66" t="b">
        <v>0</v>
      </c>
      <c r="Q28" s="67" t="b">
        <v>0</v>
      </c>
      <c r="R28" s="68" t="b">
        <v>0</v>
      </c>
      <c r="S28" s="8"/>
    </row>
    <row r="29" spans="1:24" ht="14.5">
      <c r="A29" s="1" t="s">
        <v>5</v>
      </c>
      <c r="B29" s="69"/>
      <c r="C29" s="69" t="s">
        <v>540</v>
      </c>
      <c r="D29" s="69" t="s">
        <v>541</v>
      </c>
      <c r="E29" s="1">
        <v>59967597836</v>
      </c>
      <c r="F29" s="63" t="s">
        <v>496</v>
      </c>
      <c r="G29" s="1" t="s">
        <v>542</v>
      </c>
      <c r="H29" s="4"/>
      <c r="I29" s="4" t="s">
        <v>459</v>
      </c>
      <c r="J29" s="66" t="b">
        <v>0</v>
      </c>
      <c r="K29" s="67" t="b">
        <v>0</v>
      </c>
      <c r="L29" s="68" t="b">
        <v>0</v>
      </c>
      <c r="M29" s="66" t="b">
        <v>0</v>
      </c>
      <c r="N29" s="67" t="b">
        <v>0</v>
      </c>
      <c r="O29" s="68" t="b">
        <v>0</v>
      </c>
      <c r="P29" s="66" t="b">
        <v>0</v>
      </c>
      <c r="Q29" s="67" t="b">
        <v>0</v>
      </c>
      <c r="R29" s="68" t="b">
        <v>0</v>
      </c>
      <c r="S29" s="8"/>
    </row>
    <row r="30" spans="1:24" ht="14.5">
      <c r="A30" s="1" t="s">
        <v>5</v>
      </c>
      <c r="B30" s="69"/>
      <c r="C30" s="69" t="s">
        <v>543</v>
      </c>
      <c r="D30" s="69" t="s">
        <v>516</v>
      </c>
      <c r="E30" s="1">
        <v>34646739096</v>
      </c>
      <c r="F30" s="63" t="s">
        <v>335</v>
      </c>
      <c r="G30" s="1" t="s">
        <v>544</v>
      </c>
      <c r="H30" s="4"/>
      <c r="I30" s="4" t="s">
        <v>459</v>
      </c>
      <c r="J30" s="66" t="b">
        <v>0</v>
      </c>
      <c r="K30" s="67" t="b">
        <v>0</v>
      </c>
      <c r="L30" s="68" t="b">
        <v>0</v>
      </c>
      <c r="M30" s="66" t="b">
        <v>0</v>
      </c>
      <c r="N30" s="67" t="b">
        <v>0</v>
      </c>
      <c r="O30" s="68" t="b">
        <v>0</v>
      </c>
      <c r="P30" s="66" t="b">
        <v>0</v>
      </c>
      <c r="Q30" s="67" t="b">
        <v>0</v>
      </c>
      <c r="R30" s="68" t="b">
        <v>0</v>
      </c>
      <c r="S30" s="8"/>
    </row>
    <row r="31" spans="1:24" ht="14.5">
      <c r="A31" s="1" t="s">
        <v>5</v>
      </c>
      <c r="B31" s="69"/>
      <c r="C31" s="69" t="s">
        <v>545</v>
      </c>
      <c r="D31" s="69" t="s">
        <v>546</v>
      </c>
      <c r="E31" s="1">
        <v>34655219339</v>
      </c>
      <c r="F31" s="63" t="s">
        <v>492</v>
      </c>
      <c r="G31" s="1" t="s">
        <v>547</v>
      </c>
      <c r="H31" s="4"/>
      <c r="I31" s="4" t="s">
        <v>448</v>
      </c>
      <c r="J31" s="66" t="b">
        <v>0</v>
      </c>
      <c r="K31" s="67" t="b">
        <v>0</v>
      </c>
      <c r="L31" s="68" t="b">
        <v>0</v>
      </c>
      <c r="M31" s="66" t="b">
        <v>0</v>
      </c>
      <c r="N31" s="67" t="b">
        <v>0</v>
      </c>
      <c r="O31" s="68" t="b">
        <v>0</v>
      </c>
      <c r="P31" s="66" t="b">
        <v>0</v>
      </c>
      <c r="Q31" s="67" t="b">
        <v>0</v>
      </c>
      <c r="R31" s="68" t="b">
        <v>0</v>
      </c>
      <c r="S31" s="8"/>
      <c r="T31" s="8"/>
      <c r="U31" s="8"/>
      <c r="V31" s="8"/>
      <c r="W31" s="8"/>
      <c r="X31" s="8">
        <v>45658</v>
      </c>
    </row>
    <row r="32" spans="1:24" ht="14.5">
      <c r="A32" s="1" t="s">
        <v>5</v>
      </c>
      <c r="B32" s="69"/>
      <c r="C32" s="69" t="s">
        <v>548</v>
      </c>
      <c r="D32" s="69" t="s">
        <v>549</v>
      </c>
      <c r="E32" s="1">
        <v>34637082759</v>
      </c>
      <c r="F32" s="1" t="s">
        <v>140</v>
      </c>
      <c r="G32" s="1" t="s">
        <v>550</v>
      </c>
      <c r="H32" s="4"/>
      <c r="I32" s="4" t="s">
        <v>459</v>
      </c>
      <c r="J32" s="66" t="b">
        <v>0</v>
      </c>
      <c r="K32" s="67" t="b">
        <v>0</v>
      </c>
      <c r="L32" s="68" t="b">
        <v>0</v>
      </c>
      <c r="M32" s="66" t="b">
        <v>0</v>
      </c>
      <c r="N32" s="67" t="b">
        <v>0</v>
      </c>
      <c r="O32" s="68" t="b">
        <v>0</v>
      </c>
      <c r="P32" s="66" t="b">
        <v>0</v>
      </c>
      <c r="Q32" s="67" t="b">
        <v>0</v>
      </c>
      <c r="R32" s="68" t="b">
        <v>0</v>
      </c>
      <c r="S32" s="8"/>
    </row>
    <row r="33" spans="1:24" ht="14.5">
      <c r="A33" s="1" t="s">
        <v>5</v>
      </c>
      <c r="B33" s="1"/>
      <c r="C33" s="1" t="s">
        <v>551</v>
      </c>
      <c r="D33" s="1" t="s">
        <v>552</v>
      </c>
      <c r="E33" s="70">
        <f>34627200863</f>
        <v>34627200863</v>
      </c>
      <c r="F33" s="1" t="s">
        <v>140</v>
      </c>
      <c r="G33" s="1" t="s">
        <v>550</v>
      </c>
      <c r="H33" s="4"/>
      <c r="I33" s="4" t="s">
        <v>448</v>
      </c>
      <c r="J33" s="66" t="b">
        <v>0</v>
      </c>
      <c r="K33" s="67" t="b">
        <v>0</v>
      </c>
      <c r="L33" s="68" t="b">
        <v>0</v>
      </c>
      <c r="M33" s="66" t="b">
        <v>0</v>
      </c>
      <c r="N33" s="67" t="b">
        <v>0</v>
      </c>
      <c r="O33" s="68" t="b">
        <v>0</v>
      </c>
      <c r="P33" s="66" t="b">
        <v>0</v>
      </c>
      <c r="Q33" s="67" t="b">
        <v>0</v>
      </c>
      <c r="R33" s="68" t="b">
        <v>0</v>
      </c>
      <c r="S33" s="8"/>
      <c r="T33" s="8"/>
      <c r="U33" s="8"/>
      <c r="V33" s="8"/>
      <c r="W33" s="8"/>
      <c r="X33" s="8">
        <v>45658</v>
      </c>
    </row>
    <row r="34" spans="1:24" ht="14.5">
      <c r="A34" s="1" t="s">
        <v>5</v>
      </c>
      <c r="B34" s="1"/>
      <c r="C34" s="1" t="s">
        <v>553</v>
      </c>
      <c r="D34" s="1" t="s">
        <v>554</v>
      </c>
      <c r="E34" s="70">
        <v>34659102133</v>
      </c>
      <c r="F34" s="1" t="s">
        <v>140</v>
      </c>
      <c r="G34" s="1" t="s">
        <v>555</v>
      </c>
      <c r="H34" s="4"/>
      <c r="I34" s="4" t="s">
        <v>448</v>
      </c>
      <c r="J34" s="66" t="b">
        <v>0</v>
      </c>
      <c r="K34" s="67" t="b">
        <v>0</v>
      </c>
      <c r="L34" s="68" t="b">
        <v>0</v>
      </c>
      <c r="M34" s="66" t="b">
        <v>0</v>
      </c>
      <c r="N34" s="67" t="b">
        <v>0</v>
      </c>
      <c r="O34" s="68" t="b">
        <v>0</v>
      </c>
      <c r="P34" s="66" t="b">
        <v>0</v>
      </c>
      <c r="Q34" s="67" t="b">
        <v>0</v>
      </c>
      <c r="R34" s="68" t="b">
        <v>0</v>
      </c>
      <c r="S34" s="8"/>
      <c r="T34" s="8"/>
      <c r="U34" s="8"/>
      <c r="V34" s="8"/>
      <c r="W34" s="8"/>
      <c r="X34" s="8">
        <v>45658</v>
      </c>
    </row>
    <row r="35" spans="1:24" ht="13">
      <c r="A35" s="1" t="s">
        <v>5</v>
      </c>
      <c r="B35" s="71"/>
      <c r="C35" s="71" t="s">
        <v>556</v>
      </c>
      <c r="D35" s="1" t="s">
        <v>557</v>
      </c>
      <c r="E35" s="72">
        <v>525514207527</v>
      </c>
      <c r="F35" s="1" t="s">
        <v>558</v>
      </c>
      <c r="G35" s="1" t="s">
        <v>555</v>
      </c>
      <c r="H35" s="4"/>
      <c r="I35" s="4" t="s">
        <v>459</v>
      </c>
      <c r="J35" s="66" t="b">
        <v>0</v>
      </c>
      <c r="K35" s="67" t="b">
        <v>0</v>
      </c>
      <c r="L35" s="68" t="b">
        <v>0</v>
      </c>
      <c r="M35" s="66" t="b">
        <v>0</v>
      </c>
      <c r="N35" s="67" t="b">
        <v>0</v>
      </c>
      <c r="O35" s="68" t="b">
        <v>0</v>
      </c>
      <c r="P35" s="66" t="b">
        <v>0</v>
      </c>
      <c r="Q35" s="67" t="b">
        <v>0</v>
      </c>
      <c r="R35" s="68" t="b">
        <v>0</v>
      </c>
      <c r="S35" s="8"/>
    </row>
    <row r="36" spans="1:24" ht="14.5">
      <c r="A36" s="1" t="s">
        <v>5</v>
      </c>
      <c r="B36" s="1"/>
      <c r="C36" s="1" t="s">
        <v>559</v>
      </c>
      <c r="D36" s="1"/>
      <c r="E36" s="70">
        <v>51940484526</v>
      </c>
      <c r="F36" s="1" t="s">
        <v>481</v>
      </c>
      <c r="G36" s="1" t="s">
        <v>555</v>
      </c>
      <c r="H36" s="4"/>
      <c r="I36" s="4" t="s">
        <v>459</v>
      </c>
      <c r="J36" s="66" t="b">
        <v>0</v>
      </c>
      <c r="K36" s="67" t="b">
        <v>0</v>
      </c>
      <c r="L36" s="68" t="b">
        <v>0</v>
      </c>
      <c r="M36" s="66" t="b">
        <v>0</v>
      </c>
      <c r="N36" s="67" t="b">
        <v>0</v>
      </c>
      <c r="O36" s="68" t="b">
        <v>0</v>
      </c>
      <c r="P36" s="66" t="b">
        <v>0</v>
      </c>
      <c r="Q36" s="67" t="b">
        <v>0</v>
      </c>
      <c r="R36" s="68" t="b">
        <v>0</v>
      </c>
      <c r="S36" s="8"/>
    </row>
    <row r="37" spans="1:24" ht="14.5">
      <c r="A37" s="1" t="s">
        <v>5</v>
      </c>
      <c r="B37" s="1"/>
      <c r="C37" s="1" t="s">
        <v>560</v>
      </c>
      <c r="D37" s="1" t="s">
        <v>561</v>
      </c>
      <c r="E37" s="70">
        <v>5492216430052</v>
      </c>
      <c r="F37" s="1" t="s">
        <v>492</v>
      </c>
      <c r="G37" s="1" t="s">
        <v>562</v>
      </c>
      <c r="H37" s="4"/>
      <c r="I37" s="4" t="s">
        <v>459</v>
      </c>
      <c r="J37" s="66" t="b">
        <v>0</v>
      </c>
      <c r="K37" s="67" t="b">
        <v>0</v>
      </c>
      <c r="L37" s="68" t="b">
        <v>0</v>
      </c>
      <c r="M37" s="66" t="b">
        <v>0</v>
      </c>
      <c r="N37" s="67" t="b">
        <v>0</v>
      </c>
      <c r="O37" s="68" t="b">
        <v>0</v>
      </c>
      <c r="P37" s="66" t="b">
        <v>0</v>
      </c>
      <c r="Q37" s="67" t="b">
        <v>0</v>
      </c>
      <c r="R37" s="68" t="b">
        <v>0</v>
      </c>
      <c r="S37" s="8"/>
    </row>
    <row r="38" spans="1:24" ht="14.5">
      <c r="A38" s="1" t="s">
        <v>5</v>
      </c>
      <c r="B38" s="1"/>
      <c r="C38" s="1" t="s">
        <v>563</v>
      </c>
      <c r="D38" s="1" t="s">
        <v>564</v>
      </c>
      <c r="E38" s="70">
        <v>59897337275</v>
      </c>
      <c r="F38" s="1" t="s">
        <v>111</v>
      </c>
      <c r="G38" s="1" t="s">
        <v>565</v>
      </c>
      <c r="H38" s="4"/>
      <c r="I38" s="4" t="s">
        <v>459</v>
      </c>
      <c r="J38" s="66" t="b">
        <v>0</v>
      </c>
      <c r="K38" s="67" t="b">
        <v>0</v>
      </c>
      <c r="L38" s="68" t="b">
        <v>0</v>
      </c>
      <c r="M38" s="66" t="b">
        <v>0</v>
      </c>
      <c r="N38" s="67" t="b">
        <v>0</v>
      </c>
      <c r="O38" s="68" t="b">
        <v>0</v>
      </c>
      <c r="P38" s="66" t="b">
        <v>0</v>
      </c>
      <c r="Q38" s="67" t="b">
        <v>0</v>
      </c>
      <c r="R38" s="68" t="b">
        <v>0</v>
      </c>
      <c r="S38" s="8"/>
    </row>
    <row r="39" spans="1:24" ht="14.5">
      <c r="A39" s="1" t="s">
        <v>5</v>
      </c>
      <c r="B39" s="1"/>
      <c r="C39" s="1" t="s">
        <v>566</v>
      </c>
      <c r="D39" s="1" t="s">
        <v>567</v>
      </c>
      <c r="E39" s="70">
        <v>5493512461165</v>
      </c>
      <c r="F39" s="1" t="s">
        <v>492</v>
      </c>
      <c r="G39" s="1" t="s">
        <v>568</v>
      </c>
      <c r="H39" s="4"/>
      <c r="I39" s="4" t="s">
        <v>459</v>
      </c>
      <c r="J39" s="66" t="b">
        <v>0</v>
      </c>
      <c r="K39" s="67" t="b">
        <v>0</v>
      </c>
      <c r="L39" s="68" t="b">
        <v>0</v>
      </c>
      <c r="M39" s="66" t="b">
        <v>0</v>
      </c>
      <c r="N39" s="67" t="b">
        <v>0</v>
      </c>
      <c r="O39" s="68" t="b">
        <v>0</v>
      </c>
      <c r="P39" s="66" t="b">
        <v>0</v>
      </c>
      <c r="Q39" s="67" t="b">
        <v>0</v>
      </c>
      <c r="R39" s="68" t="b">
        <v>0</v>
      </c>
      <c r="S39" s="8"/>
    </row>
    <row r="40" spans="1:24" ht="14.5">
      <c r="A40" s="1" t="s">
        <v>5</v>
      </c>
      <c r="B40" s="1"/>
      <c r="C40" s="1" t="s">
        <v>569</v>
      </c>
      <c r="D40" s="1" t="s">
        <v>570</v>
      </c>
      <c r="E40" s="70">
        <v>5492345423274</v>
      </c>
      <c r="F40" s="1" t="s">
        <v>492</v>
      </c>
      <c r="G40" s="1" t="s">
        <v>571</v>
      </c>
      <c r="H40" s="4"/>
      <c r="I40" s="4" t="s">
        <v>459</v>
      </c>
      <c r="J40" s="66" t="b">
        <v>0</v>
      </c>
      <c r="K40" s="67" t="b">
        <v>0</v>
      </c>
      <c r="L40" s="68" t="b">
        <v>0</v>
      </c>
      <c r="M40" s="66" t="b">
        <v>0</v>
      </c>
      <c r="N40" s="67" t="b">
        <v>0</v>
      </c>
      <c r="O40" s="68" t="b">
        <v>0</v>
      </c>
      <c r="P40" s="66" t="b">
        <v>0</v>
      </c>
      <c r="Q40" s="67" t="b">
        <v>0</v>
      </c>
      <c r="R40" s="68" t="b">
        <v>0</v>
      </c>
      <c r="S40" s="8"/>
    </row>
    <row r="41" spans="1:24" ht="14.5">
      <c r="A41" s="1" t="s">
        <v>5</v>
      </c>
      <c r="B41" s="1"/>
      <c r="C41" s="1" t="s">
        <v>572</v>
      </c>
      <c r="D41" s="1" t="s">
        <v>573</v>
      </c>
      <c r="E41" s="70">
        <v>5930988186738</v>
      </c>
      <c r="F41" s="1" t="s">
        <v>83</v>
      </c>
      <c r="G41" s="1" t="s">
        <v>574</v>
      </c>
      <c r="H41" s="4"/>
      <c r="I41" s="4" t="s">
        <v>459</v>
      </c>
      <c r="J41" s="66" t="b">
        <v>0</v>
      </c>
      <c r="K41" s="67" t="b">
        <v>0</v>
      </c>
      <c r="L41" s="68" t="b">
        <v>0</v>
      </c>
      <c r="M41" s="66" t="b">
        <v>0</v>
      </c>
      <c r="N41" s="67" t="b">
        <v>0</v>
      </c>
      <c r="O41" s="68" t="b">
        <v>0</v>
      </c>
      <c r="P41" s="66" t="b">
        <v>0</v>
      </c>
      <c r="Q41" s="67" t="b">
        <v>0</v>
      </c>
      <c r="R41" s="68" t="b">
        <v>0</v>
      </c>
      <c r="S41" s="8"/>
    </row>
    <row r="42" spans="1:24" ht="14.5">
      <c r="A42" s="1" t="s">
        <v>5</v>
      </c>
      <c r="B42" s="1"/>
      <c r="C42" s="1" t="s">
        <v>575</v>
      </c>
      <c r="D42" s="1" t="s">
        <v>576</v>
      </c>
      <c r="E42" s="70">
        <v>34673147732</v>
      </c>
      <c r="F42" s="1" t="s">
        <v>492</v>
      </c>
      <c r="G42" s="1" t="s">
        <v>577</v>
      </c>
      <c r="H42" s="4"/>
      <c r="I42" s="4" t="s">
        <v>459</v>
      </c>
      <c r="J42" s="66" t="b">
        <v>0</v>
      </c>
      <c r="K42" s="67" t="b">
        <v>0</v>
      </c>
      <c r="L42" s="68" t="b">
        <v>0</v>
      </c>
      <c r="M42" s="66" t="b">
        <v>0</v>
      </c>
      <c r="N42" s="67" t="b">
        <v>0</v>
      </c>
      <c r="O42" s="68" t="b">
        <v>0</v>
      </c>
      <c r="P42" s="66" t="b">
        <v>0</v>
      </c>
      <c r="Q42" s="67" t="b">
        <v>0</v>
      </c>
      <c r="R42" s="68" t="b">
        <v>0</v>
      </c>
      <c r="S42" s="8"/>
    </row>
    <row r="43" spans="1:24" ht="14.5">
      <c r="A43" s="1" t="s">
        <v>5</v>
      </c>
      <c r="B43" s="1"/>
      <c r="C43" s="1" t="s">
        <v>578</v>
      </c>
      <c r="D43" s="1" t="s">
        <v>579</v>
      </c>
      <c r="E43" s="70">
        <v>5493512330371</v>
      </c>
      <c r="F43" s="1" t="s">
        <v>492</v>
      </c>
      <c r="G43" s="1" t="s">
        <v>580</v>
      </c>
      <c r="H43" s="4"/>
      <c r="I43" s="4" t="s">
        <v>459</v>
      </c>
      <c r="J43" s="66" t="b">
        <v>0</v>
      </c>
      <c r="K43" s="67" t="b">
        <v>0</v>
      </c>
      <c r="L43" s="68" t="b">
        <v>0</v>
      </c>
      <c r="M43" s="66" t="b">
        <v>0</v>
      </c>
      <c r="N43" s="67" t="b">
        <v>0</v>
      </c>
      <c r="O43" s="68" t="b">
        <v>0</v>
      </c>
      <c r="P43" s="66" t="b">
        <v>0</v>
      </c>
      <c r="Q43" s="67" t="b">
        <v>0</v>
      </c>
      <c r="R43" s="68" t="b">
        <v>0</v>
      </c>
      <c r="S43" s="8"/>
    </row>
    <row r="44" spans="1:24" ht="14.5">
      <c r="A44" s="1" t="s">
        <v>5</v>
      </c>
      <c r="B44" s="1"/>
      <c r="C44" s="1" t="s">
        <v>581</v>
      </c>
      <c r="D44" s="1" t="s">
        <v>582</v>
      </c>
      <c r="E44" s="70">
        <v>34686530510</v>
      </c>
      <c r="F44" s="1" t="s">
        <v>395</v>
      </c>
      <c r="G44" s="1" t="s">
        <v>583</v>
      </c>
      <c r="H44" s="4"/>
      <c r="I44" s="4" t="s">
        <v>459</v>
      </c>
      <c r="J44" s="66" t="b">
        <v>0</v>
      </c>
      <c r="K44" s="67" t="b">
        <v>0</v>
      </c>
      <c r="L44" s="68" t="b">
        <v>0</v>
      </c>
      <c r="M44" s="66" t="b">
        <v>0</v>
      </c>
      <c r="N44" s="67" t="b">
        <v>0</v>
      </c>
      <c r="O44" s="68" t="b">
        <v>0</v>
      </c>
      <c r="P44" s="66" t="b">
        <v>0</v>
      </c>
      <c r="Q44" s="67" t="b">
        <v>0</v>
      </c>
      <c r="R44" s="68" t="b">
        <v>0</v>
      </c>
      <c r="S44" s="8"/>
    </row>
    <row r="45" spans="1:24" ht="14.5">
      <c r="A45" s="1" t="s">
        <v>5</v>
      </c>
      <c r="B45" s="1"/>
      <c r="C45" s="1" t="s">
        <v>581</v>
      </c>
      <c r="D45" s="1" t="s">
        <v>582</v>
      </c>
      <c r="E45" s="70">
        <v>34686530510</v>
      </c>
      <c r="F45" s="1" t="s">
        <v>584</v>
      </c>
      <c r="G45" s="1" t="s">
        <v>585</v>
      </c>
      <c r="H45" s="4"/>
      <c r="I45" s="4" t="s">
        <v>459</v>
      </c>
      <c r="J45" s="66" t="b">
        <v>0</v>
      </c>
      <c r="K45" s="67" t="b">
        <v>0</v>
      </c>
      <c r="L45" s="68" t="b">
        <v>0</v>
      </c>
      <c r="M45" s="66" t="b">
        <v>0</v>
      </c>
      <c r="N45" s="67" t="b">
        <v>0</v>
      </c>
      <c r="O45" s="68" t="b">
        <v>0</v>
      </c>
      <c r="P45" s="66" t="b">
        <v>0</v>
      </c>
      <c r="Q45" s="67" t="b">
        <v>0</v>
      </c>
      <c r="R45" s="68" t="b">
        <v>0</v>
      </c>
      <c r="S45" s="8"/>
    </row>
    <row r="46" spans="1:24" ht="14.5">
      <c r="A46" s="1" t="s">
        <v>5</v>
      </c>
      <c r="B46" s="1"/>
      <c r="C46" s="1" t="s">
        <v>586</v>
      </c>
      <c r="D46" s="1" t="s">
        <v>587</v>
      </c>
      <c r="E46" s="70">
        <v>593981607757</v>
      </c>
      <c r="F46" s="1" t="s">
        <v>492</v>
      </c>
      <c r="G46" s="1" t="s">
        <v>588</v>
      </c>
      <c r="H46" s="4"/>
      <c r="I46" s="4" t="s">
        <v>459</v>
      </c>
      <c r="J46" s="66" t="b">
        <v>0</v>
      </c>
      <c r="K46" s="67" t="b">
        <v>0</v>
      </c>
      <c r="L46" s="68" t="b">
        <v>0</v>
      </c>
      <c r="M46" s="66" t="b">
        <v>0</v>
      </c>
      <c r="N46" s="67" t="b">
        <v>0</v>
      </c>
      <c r="O46" s="68" t="b">
        <v>0</v>
      </c>
      <c r="P46" s="66" t="b">
        <v>0</v>
      </c>
      <c r="Q46" s="67" t="b">
        <v>0</v>
      </c>
      <c r="R46" s="68" t="b">
        <v>0</v>
      </c>
      <c r="S46" s="8"/>
      <c r="T46" s="4"/>
      <c r="U46" s="4"/>
      <c r="V46" s="4"/>
      <c r="W46" s="4"/>
      <c r="X46" s="4"/>
    </row>
    <row r="47" spans="1:24" ht="14.5">
      <c r="A47" s="1" t="s">
        <v>5</v>
      </c>
      <c r="B47" s="1"/>
      <c r="C47" s="1" t="s">
        <v>581</v>
      </c>
      <c r="D47" s="1" t="s">
        <v>582</v>
      </c>
      <c r="E47" s="70">
        <v>34686530510</v>
      </c>
      <c r="F47" s="1" t="s">
        <v>191</v>
      </c>
      <c r="G47" s="1" t="s">
        <v>589</v>
      </c>
      <c r="H47" s="4"/>
      <c r="I47" s="4" t="s">
        <v>448</v>
      </c>
      <c r="J47" s="66" t="b">
        <v>0</v>
      </c>
      <c r="K47" s="67" t="b">
        <v>0</v>
      </c>
      <c r="L47" s="68" t="b">
        <v>0</v>
      </c>
      <c r="M47" s="66" t="b">
        <v>0</v>
      </c>
      <c r="N47" s="67" t="b">
        <v>0</v>
      </c>
      <c r="O47" s="68" t="b">
        <v>0</v>
      </c>
      <c r="P47" s="66" t="b">
        <v>0</v>
      </c>
      <c r="Q47" s="67" t="b">
        <v>0</v>
      </c>
      <c r="R47" s="68" t="b">
        <v>0</v>
      </c>
      <c r="S47" s="8"/>
      <c r="T47" s="8"/>
      <c r="U47" s="8"/>
      <c r="V47" s="8"/>
      <c r="W47" s="8"/>
      <c r="X47" s="8">
        <v>45658</v>
      </c>
    </row>
    <row r="48" spans="1:24" ht="14.5">
      <c r="A48" s="1" t="s">
        <v>5</v>
      </c>
      <c r="B48" s="1"/>
      <c r="C48" s="1" t="s">
        <v>590</v>
      </c>
      <c r="D48" s="1" t="s">
        <v>591</v>
      </c>
      <c r="E48" s="70">
        <v>584161919583</v>
      </c>
      <c r="F48" s="1" t="s">
        <v>592</v>
      </c>
      <c r="G48" s="1" t="s">
        <v>593</v>
      </c>
      <c r="H48" s="4"/>
      <c r="I48" s="4" t="s">
        <v>459</v>
      </c>
      <c r="J48" s="66" t="b">
        <v>0</v>
      </c>
      <c r="K48" s="67" t="b">
        <v>0</v>
      </c>
      <c r="L48" s="68" t="b">
        <v>0</v>
      </c>
      <c r="M48" s="66" t="b">
        <v>0</v>
      </c>
      <c r="N48" s="67" t="b">
        <v>0</v>
      </c>
      <c r="O48" s="68" t="b">
        <v>0</v>
      </c>
      <c r="P48" s="66" t="b">
        <v>0</v>
      </c>
      <c r="Q48" s="67" t="b">
        <v>0</v>
      </c>
      <c r="R48" s="68" t="b">
        <v>0</v>
      </c>
      <c r="S48" s="8"/>
      <c r="T48" s="4"/>
      <c r="U48" s="4"/>
      <c r="V48" s="4"/>
      <c r="W48" s="4"/>
      <c r="X48" s="4"/>
    </row>
    <row r="49" spans="1:26" ht="14.5">
      <c r="A49" s="1" t="s">
        <v>5</v>
      </c>
      <c r="B49" s="1"/>
      <c r="C49" s="1" t="s">
        <v>594</v>
      </c>
      <c r="D49" s="1" t="s">
        <v>595</v>
      </c>
      <c r="E49" s="70">
        <v>573007278155</v>
      </c>
      <c r="F49" s="1" t="s">
        <v>592</v>
      </c>
      <c r="G49" s="1" t="s">
        <v>596</v>
      </c>
      <c r="H49" s="4"/>
      <c r="I49" s="4" t="s">
        <v>459</v>
      </c>
      <c r="J49" s="66" t="b">
        <v>0</v>
      </c>
      <c r="K49" s="67" t="b">
        <v>0</v>
      </c>
      <c r="L49" s="68" t="b">
        <v>0</v>
      </c>
      <c r="M49" s="66" t="b">
        <v>0</v>
      </c>
      <c r="N49" s="67" t="b">
        <v>0</v>
      </c>
      <c r="O49" s="68" t="b">
        <v>0</v>
      </c>
      <c r="P49" s="66" t="b">
        <v>0</v>
      </c>
      <c r="Q49" s="67" t="b">
        <v>0</v>
      </c>
      <c r="R49" s="68" t="b">
        <v>0</v>
      </c>
      <c r="S49" s="8"/>
      <c r="T49" s="4"/>
      <c r="U49" s="4"/>
      <c r="V49" s="4"/>
      <c r="W49" s="4"/>
      <c r="X49" s="4"/>
    </row>
    <row r="50" spans="1:26" ht="14.5">
      <c r="A50" s="1" t="s">
        <v>5</v>
      </c>
      <c r="B50" s="1"/>
      <c r="C50" s="1" t="s">
        <v>597</v>
      </c>
      <c r="D50" s="1" t="s">
        <v>598</v>
      </c>
      <c r="E50" s="70">
        <v>522217628928</v>
      </c>
      <c r="F50" s="1" t="s">
        <v>528</v>
      </c>
      <c r="G50" s="1" t="s">
        <v>599</v>
      </c>
      <c r="H50" s="4"/>
      <c r="I50" s="4" t="s">
        <v>459</v>
      </c>
      <c r="J50" s="66" t="b">
        <v>0</v>
      </c>
      <c r="K50" s="67" t="b">
        <v>0</v>
      </c>
      <c r="L50" s="68" t="b">
        <v>0</v>
      </c>
      <c r="M50" s="66" t="b">
        <v>0</v>
      </c>
      <c r="N50" s="67" t="b">
        <v>0</v>
      </c>
      <c r="O50" s="68" t="b">
        <v>0</v>
      </c>
      <c r="P50" s="66" t="b">
        <v>0</v>
      </c>
      <c r="Q50" s="67" t="b">
        <v>0</v>
      </c>
      <c r="R50" s="68" t="b">
        <v>0</v>
      </c>
      <c r="S50" s="8"/>
      <c r="T50" s="4"/>
      <c r="U50" s="4"/>
      <c r="V50" s="4"/>
      <c r="W50" s="4"/>
      <c r="X50" s="4"/>
    </row>
    <row r="51" spans="1:26" ht="14.5">
      <c r="A51" s="1" t="s">
        <v>5</v>
      </c>
      <c r="B51" s="1"/>
      <c r="C51" s="1" t="s">
        <v>600</v>
      </c>
      <c r="D51" s="1" t="s">
        <v>601</v>
      </c>
      <c r="E51" s="70">
        <v>34722134659</v>
      </c>
      <c r="F51" s="1" t="s">
        <v>56</v>
      </c>
      <c r="G51" s="1" t="s">
        <v>602</v>
      </c>
      <c r="H51" s="4"/>
      <c r="I51" s="4"/>
      <c r="J51" s="66" t="b">
        <v>0</v>
      </c>
      <c r="K51" s="67" t="b">
        <v>0</v>
      </c>
      <c r="L51" s="68" t="b">
        <v>0</v>
      </c>
      <c r="M51" s="66" t="b">
        <v>0</v>
      </c>
      <c r="N51" s="67" t="b">
        <v>0</v>
      </c>
      <c r="O51" s="68" t="b">
        <v>0</v>
      </c>
      <c r="P51" s="66" t="b">
        <v>0</v>
      </c>
      <c r="Q51" s="67" t="b">
        <v>0</v>
      </c>
      <c r="R51" s="68" t="b">
        <v>0</v>
      </c>
      <c r="S51" s="8"/>
      <c r="T51" s="4"/>
      <c r="U51" s="4"/>
      <c r="V51" s="4"/>
      <c r="W51" s="4"/>
      <c r="X51" s="4"/>
    </row>
    <row r="52" spans="1:26" ht="14.5">
      <c r="A52" s="1" t="s">
        <v>5</v>
      </c>
      <c r="B52" s="1"/>
      <c r="C52" s="1" t="s">
        <v>603</v>
      </c>
      <c r="D52" s="1" t="s">
        <v>604</v>
      </c>
      <c r="E52" s="70">
        <v>527222167222</v>
      </c>
      <c r="F52" s="1" t="s">
        <v>592</v>
      </c>
      <c r="G52" s="1" t="s">
        <v>605</v>
      </c>
      <c r="H52" s="4"/>
      <c r="I52" s="4" t="s">
        <v>459</v>
      </c>
      <c r="J52" s="66" t="b">
        <v>0</v>
      </c>
      <c r="K52" s="67" t="b">
        <v>0</v>
      </c>
      <c r="L52" s="68" t="b">
        <v>0</v>
      </c>
      <c r="M52" s="66" t="b">
        <v>0</v>
      </c>
      <c r="N52" s="67" t="b">
        <v>0</v>
      </c>
      <c r="O52" s="68" t="b">
        <v>0</v>
      </c>
      <c r="P52" s="66" t="b">
        <v>0</v>
      </c>
      <c r="Q52" s="67" t="b">
        <v>0</v>
      </c>
      <c r="R52" s="68" t="b">
        <v>0</v>
      </c>
      <c r="S52" s="8"/>
      <c r="T52" s="4"/>
      <c r="U52" s="4"/>
      <c r="V52" s="4"/>
      <c r="W52" s="4"/>
      <c r="X52" s="4"/>
    </row>
    <row r="53" spans="1:26" ht="14.5">
      <c r="A53" s="1" t="s">
        <v>5</v>
      </c>
      <c r="B53" s="1"/>
      <c r="C53" s="1" t="s">
        <v>606</v>
      </c>
      <c r="D53" s="1" t="s">
        <v>607</v>
      </c>
      <c r="E53" s="70">
        <v>525516915543</v>
      </c>
      <c r="F53" s="1" t="s">
        <v>500</v>
      </c>
      <c r="G53" s="1" t="s">
        <v>608</v>
      </c>
      <c r="H53" s="4"/>
      <c r="I53" s="4" t="s">
        <v>459</v>
      </c>
      <c r="J53" s="66" t="b">
        <v>0</v>
      </c>
      <c r="K53" s="67" t="b">
        <v>0</v>
      </c>
      <c r="L53" s="68" t="b">
        <v>0</v>
      </c>
      <c r="M53" s="66" t="b">
        <v>0</v>
      </c>
      <c r="N53" s="67" t="b">
        <v>0</v>
      </c>
      <c r="O53" s="68" t="b">
        <v>0</v>
      </c>
      <c r="P53" s="66" t="b">
        <v>0</v>
      </c>
      <c r="Q53" s="67" t="b">
        <v>0</v>
      </c>
      <c r="R53" s="68" t="b">
        <v>0</v>
      </c>
      <c r="S53" s="8"/>
      <c r="T53" s="4"/>
      <c r="U53" s="4"/>
      <c r="V53" s="4"/>
      <c r="W53" s="4"/>
      <c r="X53" s="4"/>
    </row>
    <row r="54" spans="1:26" ht="14.5">
      <c r="A54" s="1" t="s">
        <v>5</v>
      </c>
      <c r="B54" s="1"/>
      <c r="C54" s="1" t="s">
        <v>600</v>
      </c>
      <c r="D54" s="1" t="s">
        <v>601</v>
      </c>
      <c r="E54" s="70">
        <v>34722134659</v>
      </c>
      <c r="F54" s="1" t="s">
        <v>56</v>
      </c>
      <c r="G54" s="1" t="s">
        <v>609</v>
      </c>
      <c r="H54" s="4"/>
      <c r="I54" s="4"/>
      <c r="J54" s="66" t="b">
        <v>0</v>
      </c>
      <c r="K54" s="67" t="b">
        <v>0</v>
      </c>
      <c r="L54" s="68" t="b">
        <v>0</v>
      </c>
      <c r="M54" s="66" t="b">
        <v>0</v>
      </c>
      <c r="N54" s="67" t="b">
        <v>0</v>
      </c>
      <c r="O54" s="68" t="b">
        <v>0</v>
      </c>
      <c r="P54" s="66" t="b">
        <v>0</v>
      </c>
      <c r="Q54" s="67" t="b">
        <v>0</v>
      </c>
      <c r="R54" s="68" t="b">
        <v>0</v>
      </c>
      <c r="S54" s="8"/>
      <c r="T54" s="4"/>
      <c r="U54" s="4"/>
      <c r="V54" s="4"/>
      <c r="W54" s="4"/>
      <c r="X54" s="4"/>
    </row>
    <row r="55" spans="1:26" ht="14.5">
      <c r="A55" s="1" t="s">
        <v>5</v>
      </c>
      <c r="B55" s="1"/>
      <c r="C55" s="1" t="s">
        <v>610</v>
      </c>
      <c r="D55" s="1" t="s">
        <v>611</v>
      </c>
      <c r="E55" s="70">
        <v>541168050702</v>
      </c>
      <c r="F55" s="1" t="s">
        <v>395</v>
      </c>
      <c r="G55" s="1" t="s">
        <v>612</v>
      </c>
      <c r="H55" s="4"/>
      <c r="I55" s="4" t="s">
        <v>459</v>
      </c>
      <c r="J55" s="66" t="b">
        <v>0</v>
      </c>
      <c r="K55" s="67" t="b">
        <v>0</v>
      </c>
      <c r="L55" s="68" t="b">
        <v>0</v>
      </c>
      <c r="M55" s="66" t="b">
        <v>0</v>
      </c>
      <c r="N55" s="67" t="b">
        <v>0</v>
      </c>
      <c r="O55" s="68" t="b">
        <v>0</v>
      </c>
      <c r="P55" s="66" t="b">
        <v>0</v>
      </c>
      <c r="Q55" s="67" t="b">
        <v>0</v>
      </c>
      <c r="R55" s="68" t="b">
        <v>0</v>
      </c>
      <c r="S55" s="8"/>
      <c r="T55" s="4"/>
      <c r="U55" s="4"/>
      <c r="V55" s="4"/>
      <c r="W55" s="4"/>
      <c r="X55" s="4"/>
    </row>
    <row r="56" spans="1:26" ht="14.5">
      <c r="A56" s="1" t="s">
        <v>5</v>
      </c>
      <c r="B56" s="1"/>
      <c r="C56" s="1" t="s">
        <v>613</v>
      </c>
      <c r="D56" s="1" t="s">
        <v>527</v>
      </c>
      <c r="E56" s="70">
        <v>542364301592</v>
      </c>
      <c r="F56" s="1" t="s">
        <v>528</v>
      </c>
      <c r="G56" s="1" t="s">
        <v>614</v>
      </c>
      <c r="H56" s="4"/>
      <c r="I56" s="4" t="s">
        <v>459</v>
      </c>
      <c r="J56" s="66" t="b">
        <v>0</v>
      </c>
      <c r="K56" s="67" t="b">
        <v>0</v>
      </c>
      <c r="L56" s="68" t="b">
        <v>0</v>
      </c>
      <c r="M56" s="66" t="b">
        <v>0</v>
      </c>
      <c r="N56" s="67" t="b">
        <v>0</v>
      </c>
      <c r="O56" s="68" t="b">
        <v>0</v>
      </c>
      <c r="P56" s="66" t="b">
        <v>0</v>
      </c>
      <c r="Q56" s="67" t="b">
        <v>0</v>
      </c>
      <c r="R56" s="68" t="b">
        <v>0</v>
      </c>
      <c r="S56" s="8"/>
      <c r="T56" s="4"/>
      <c r="U56" s="4"/>
      <c r="V56" s="4"/>
      <c r="W56" s="4"/>
      <c r="X56" s="4"/>
    </row>
    <row r="57" spans="1:26" ht="14.5">
      <c r="A57" s="1" t="s">
        <v>5</v>
      </c>
      <c r="B57" s="1"/>
      <c r="C57" s="1" t="s">
        <v>615</v>
      </c>
      <c r="D57" s="1" t="s">
        <v>616</v>
      </c>
      <c r="E57" s="70">
        <v>51931430782</v>
      </c>
      <c r="F57" s="1" t="s">
        <v>83</v>
      </c>
      <c r="G57" s="1" t="s">
        <v>617</v>
      </c>
      <c r="H57" s="4"/>
      <c r="I57" s="4" t="s">
        <v>448</v>
      </c>
      <c r="J57" s="66" t="b">
        <v>0</v>
      </c>
      <c r="K57" s="67" t="b">
        <v>0</v>
      </c>
      <c r="L57" s="68" t="b">
        <v>0</v>
      </c>
      <c r="M57" s="66" t="b">
        <v>0</v>
      </c>
      <c r="N57" s="67" t="b">
        <v>0</v>
      </c>
      <c r="O57" s="68" t="b">
        <v>0</v>
      </c>
      <c r="P57" s="66" t="b">
        <v>0</v>
      </c>
      <c r="Q57" s="67" t="b">
        <v>0</v>
      </c>
      <c r="R57" s="68" t="b">
        <v>0</v>
      </c>
      <c r="S57" s="8"/>
      <c r="T57" s="8"/>
      <c r="U57" s="8"/>
      <c r="V57" s="8"/>
      <c r="W57" s="8"/>
      <c r="X57" s="8">
        <v>45658</v>
      </c>
    </row>
    <row r="58" spans="1:26" ht="14.5">
      <c r="A58" s="1" t="s">
        <v>5</v>
      </c>
      <c r="B58" s="1"/>
      <c r="C58" s="1" t="s">
        <v>618</v>
      </c>
      <c r="D58" s="1" t="s">
        <v>619</v>
      </c>
      <c r="E58" s="70">
        <v>573005518545</v>
      </c>
      <c r="F58" s="1" t="s">
        <v>82</v>
      </c>
      <c r="G58" s="1" t="s">
        <v>620</v>
      </c>
      <c r="H58" s="4"/>
      <c r="I58" s="4" t="s">
        <v>459</v>
      </c>
      <c r="J58" s="66" t="b">
        <v>0</v>
      </c>
      <c r="K58" s="67" t="b">
        <v>0</v>
      </c>
      <c r="L58" s="68" t="b">
        <v>0</v>
      </c>
      <c r="M58" s="66" t="b">
        <v>0</v>
      </c>
      <c r="N58" s="67" t="b">
        <v>0</v>
      </c>
      <c r="O58" s="68" t="b">
        <v>0</v>
      </c>
      <c r="P58" s="66" t="b">
        <v>0</v>
      </c>
      <c r="Q58" s="67" t="b">
        <v>0</v>
      </c>
      <c r="R58" s="68" t="b">
        <v>0</v>
      </c>
      <c r="S58" s="8"/>
      <c r="T58" s="4"/>
      <c r="U58" s="4"/>
      <c r="V58" s="4"/>
      <c r="W58" s="4"/>
      <c r="X58" s="4"/>
    </row>
    <row r="59" spans="1:26" ht="14.5">
      <c r="A59" s="1" t="s">
        <v>5</v>
      </c>
      <c r="B59" s="1"/>
      <c r="C59" s="1" t="s">
        <v>621</v>
      </c>
      <c r="D59" s="1" t="s">
        <v>622</v>
      </c>
      <c r="E59" s="70">
        <v>17876391012</v>
      </c>
      <c r="F59" s="1" t="s">
        <v>496</v>
      </c>
      <c r="G59" s="1" t="s">
        <v>623</v>
      </c>
      <c r="H59" s="4"/>
      <c r="I59" s="4" t="s">
        <v>459</v>
      </c>
      <c r="J59" s="66" t="b">
        <v>0</v>
      </c>
      <c r="K59" s="67" t="b">
        <v>0</v>
      </c>
      <c r="L59" s="68" t="b">
        <v>0</v>
      </c>
      <c r="M59" s="66" t="b">
        <v>0</v>
      </c>
      <c r="N59" s="67" t="b">
        <v>0</v>
      </c>
      <c r="O59" s="68" t="b">
        <v>0</v>
      </c>
      <c r="P59" s="66" t="b">
        <v>0</v>
      </c>
      <c r="Q59" s="67" t="b">
        <v>0</v>
      </c>
      <c r="R59" s="68" t="b">
        <v>0</v>
      </c>
      <c r="S59" s="8"/>
      <c r="T59" s="4"/>
      <c r="U59" s="4"/>
      <c r="V59" s="4"/>
      <c r="W59" s="4"/>
      <c r="X59" s="4"/>
    </row>
    <row r="60" spans="1:26" ht="14.5">
      <c r="A60" s="1" t="s">
        <v>5</v>
      </c>
      <c r="B60" s="1"/>
      <c r="C60" s="1" t="s">
        <v>624</v>
      </c>
      <c r="D60" s="1" t="s">
        <v>625</v>
      </c>
      <c r="E60" s="70">
        <v>542325413990</v>
      </c>
      <c r="F60" s="1" t="s">
        <v>24</v>
      </c>
      <c r="G60" s="1" t="s">
        <v>626</v>
      </c>
      <c r="H60" s="4"/>
      <c r="I60" s="4" t="s">
        <v>459</v>
      </c>
      <c r="J60" s="66" t="b">
        <v>0</v>
      </c>
      <c r="K60" s="67" t="b">
        <v>0</v>
      </c>
      <c r="L60" s="68" t="b">
        <v>0</v>
      </c>
      <c r="M60" s="66" t="b">
        <v>0</v>
      </c>
      <c r="N60" s="67" t="b">
        <v>0</v>
      </c>
      <c r="O60" s="68" t="b">
        <v>0</v>
      </c>
      <c r="P60" s="66" t="b">
        <v>0</v>
      </c>
      <c r="Q60" s="67" t="b">
        <v>0</v>
      </c>
      <c r="R60" s="68" t="b">
        <v>0</v>
      </c>
      <c r="S60" s="8"/>
      <c r="T60" s="4"/>
      <c r="U60" s="4"/>
      <c r="V60" s="4"/>
      <c r="W60" s="4"/>
      <c r="X60" s="4"/>
    </row>
    <row r="61" spans="1:26" ht="14.5">
      <c r="A61" s="1" t="s">
        <v>5</v>
      </c>
      <c r="B61" s="1"/>
      <c r="C61" s="1" t="s">
        <v>627</v>
      </c>
      <c r="D61" s="1" t="s">
        <v>628</v>
      </c>
      <c r="E61" s="70">
        <v>34681077464</v>
      </c>
      <c r="F61" s="1" t="s">
        <v>343</v>
      </c>
      <c r="G61" s="1" t="s">
        <v>629</v>
      </c>
      <c r="H61" s="4"/>
      <c r="I61" s="4" t="s">
        <v>448</v>
      </c>
      <c r="J61" s="66" t="b">
        <v>0</v>
      </c>
      <c r="K61" s="67" t="b">
        <v>0</v>
      </c>
      <c r="L61" s="68" t="b">
        <v>0</v>
      </c>
      <c r="M61" s="66" t="b">
        <v>0</v>
      </c>
      <c r="N61" s="67" t="b">
        <v>0</v>
      </c>
      <c r="O61" s="68" t="b">
        <v>0</v>
      </c>
      <c r="P61" s="66" t="b">
        <v>0</v>
      </c>
      <c r="Q61" s="67" t="b">
        <v>0</v>
      </c>
      <c r="R61" s="68" t="b">
        <v>0</v>
      </c>
      <c r="S61" s="8"/>
      <c r="T61" s="8"/>
      <c r="U61" s="8"/>
      <c r="V61" s="8"/>
      <c r="W61" s="8"/>
      <c r="X61" s="8">
        <v>45658</v>
      </c>
      <c r="Z61" s="4" t="s">
        <v>630</v>
      </c>
    </row>
    <row r="62" spans="1:26" ht="14.5">
      <c r="A62" s="1" t="s">
        <v>5</v>
      </c>
      <c r="B62" s="1"/>
      <c r="C62" s="1" t="s">
        <v>631</v>
      </c>
      <c r="D62" s="1" t="s">
        <v>632</v>
      </c>
      <c r="E62" s="70">
        <v>34638679723</v>
      </c>
      <c r="F62" s="1" t="s">
        <v>56</v>
      </c>
      <c r="G62" s="1" t="s">
        <v>633</v>
      </c>
      <c r="H62" s="4"/>
      <c r="I62" s="4" t="s">
        <v>459</v>
      </c>
      <c r="J62" s="66" t="b">
        <v>0</v>
      </c>
      <c r="K62" s="67" t="b">
        <v>0</v>
      </c>
      <c r="L62" s="68" t="b">
        <v>0</v>
      </c>
      <c r="M62" s="66" t="b">
        <v>0</v>
      </c>
      <c r="N62" s="67" t="b">
        <v>0</v>
      </c>
      <c r="O62" s="68" t="b">
        <v>0</v>
      </c>
      <c r="P62" s="66" t="b">
        <v>0</v>
      </c>
      <c r="Q62" s="67" t="b">
        <v>0</v>
      </c>
      <c r="R62" s="68" t="b">
        <v>0</v>
      </c>
      <c r="S62" s="8"/>
      <c r="T62" s="4"/>
      <c r="U62" s="4"/>
      <c r="V62" s="4"/>
      <c r="W62" s="4"/>
      <c r="X62" s="4"/>
    </row>
    <row r="63" spans="1:26" ht="14.5">
      <c r="A63" s="1" t="s">
        <v>5</v>
      </c>
      <c r="B63" s="1"/>
      <c r="C63" s="1" t="s">
        <v>634</v>
      </c>
      <c r="D63" s="1" t="s">
        <v>635</v>
      </c>
      <c r="E63" s="70">
        <v>373158558811</v>
      </c>
      <c r="F63" s="1" t="s">
        <v>636</v>
      </c>
      <c r="G63" s="1" t="s">
        <v>637</v>
      </c>
      <c r="H63" s="4"/>
      <c r="I63" s="4" t="s">
        <v>459</v>
      </c>
      <c r="J63" s="66" t="b">
        <v>0</v>
      </c>
      <c r="K63" s="67" t="b">
        <v>0</v>
      </c>
      <c r="L63" s="68" t="b">
        <v>0</v>
      </c>
      <c r="M63" s="66" t="b">
        <v>0</v>
      </c>
      <c r="N63" s="67" t="b">
        <v>0</v>
      </c>
      <c r="O63" s="68" t="b">
        <v>0</v>
      </c>
      <c r="P63" s="66" t="b">
        <v>0</v>
      </c>
      <c r="Q63" s="67" t="b">
        <v>0</v>
      </c>
      <c r="R63" s="68" t="b">
        <v>0</v>
      </c>
      <c r="S63" s="8"/>
      <c r="T63" s="4"/>
      <c r="U63" s="4"/>
      <c r="V63" s="4"/>
      <c r="W63" s="4"/>
      <c r="X63" s="4"/>
    </row>
    <row r="64" spans="1:26" ht="14.5">
      <c r="A64" s="1" t="s">
        <v>5</v>
      </c>
      <c r="B64" s="1"/>
      <c r="C64" s="1" t="s">
        <v>638</v>
      </c>
      <c r="D64" s="1" t="s">
        <v>639</v>
      </c>
      <c r="E64" s="70">
        <v>34622088606</v>
      </c>
      <c r="F64" s="1" t="s">
        <v>56</v>
      </c>
      <c r="G64" s="1" t="s">
        <v>640</v>
      </c>
      <c r="H64" s="4"/>
      <c r="I64" s="4" t="s">
        <v>448</v>
      </c>
      <c r="J64" s="66" t="b">
        <v>0</v>
      </c>
      <c r="K64" s="67" t="b">
        <v>0</v>
      </c>
      <c r="L64" s="68" t="b">
        <v>0</v>
      </c>
      <c r="M64" s="66" t="b">
        <v>0</v>
      </c>
      <c r="N64" s="67" t="b">
        <v>0</v>
      </c>
      <c r="O64" s="68" t="b">
        <v>0</v>
      </c>
      <c r="P64" s="66" t="b">
        <v>0</v>
      </c>
      <c r="Q64" s="67" t="b">
        <v>0</v>
      </c>
      <c r="R64" s="68" t="b">
        <v>0</v>
      </c>
      <c r="S64" s="8"/>
      <c r="T64" s="8"/>
      <c r="U64" s="8"/>
      <c r="V64" s="8"/>
      <c r="W64" s="8"/>
      <c r="X64" s="8">
        <v>45658</v>
      </c>
    </row>
    <row r="65" spans="1:24" ht="14.5">
      <c r="A65" s="1" t="s">
        <v>5</v>
      </c>
      <c r="B65" s="1"/>
      <c r="C65" s="1" t="s">
        <v>641</v>
      </c>
      <c r="D65" s="1" t="s">
        <v>642</v>
      </c>
      <c r="E65" s="70">
        <v>525548304015</v>
      </c>
      <c r="F65" s="1" t="s">
        <v>56</v>
      </c>
      <c r="G65" s="1" t="s">
        <v>643</v>
      </c>
      <c r="H65" s="4"/>
      <c r="I65" s="4" t="s">
        <v>459</v>
      </c>
      <c r="J65" s="66" t="b">
        <v>0</v>
      </c>
      <c r="K65" s="67" t="b">
        <v>0</v>
      </c>
      <c r="L65" s="68" t="b">
        <v>0</v>
      </c>
      <c r="M65" s="66" t="b">
        <v>0</v>
      </c>
      <c r="N65" s="67" t="b">
        <v>0</v>
      </c>
      <c r="O65" s="68" t="b">
        <v>0</v>
      </c>
      <c r="P65" s="66" t="b">
        <v>0</v>
      </c>
      <c r="Q65" s="67" t="b">
        <v>0</v>
      </c>
      <c r="R65" s="68" t="b">
        <v>0</v>
      </c>
      <c r="S65" s="8"/>
      <c r="T65" s="4"/>
      <c r="U65" s="4"/>
      <c r="V65" s="4"/>
      <c r="W65" s="4"/>
      <c r="X65" s="4"/>
    </row>
    <row r="66" spans="1:24" ht="14.5">
      <c r="A66" s="1" t="s">
        <v>5</v>
      </c>
      <c r="B66" s="1"/>
      <c r="C66" s="1" t="s">
        <v>644</v>
      </c>
      <c r="D66" s="1" t="s">
        <v>645</v>
      </c>
      <c r="E66" s="70">
        <v>525581441633</v>
      </c>
      <c r="F66" s="1" t="s">
        <v>646</v>
      </c>
      <c r="G66" s="73">
        <v>45727</v>
      </c>
      <c r="H66" s="4"/>
      <c r="I66" s="4" t="s">
        <v>459</v>
      </c>
      <c r="J66" s="66" t="b">
        <v>0</v>
      </c>
      <c r="K66" s="67" t="b">
        <v>0</v>
      </c>
      <c r="L66" s="68" t="b">
        <v>0</v>
      </c>
      <c r="M66" s="66" t="b">
        <v>0</v>
      </c>
      <c r="N66" s="67" t="b">
        <v>0</v>
      </c>
      <c r="O66" s="68" t="b">
        <v>0</v>
      </c>
      <c r="P66" s="66" t="b">
        <v>0</v>
      </c>
      <c r="Q66" s="67" t="b">
        <v>0</v>
      </c>
      <c r="R66" s="68" t="b">
        <v>0</v>
      </c>
      <c r="S66" s="8"/>
      <c r="T66" s="4"/>
      <c r="U66" s="4"/>
      <c r="V66" s="4"/>
      <c r="W66" s="4"/>
      <c r="X66" s="4"/>
    </row>
    <row r="67" spans="1:24" ht="14.5">
      <c r="A67" s="1" t="s">
        <v>5</v>
      </c>
      <c r="B67" s="1"/>
      <c r="C67" s="1" t="s">
        <v>647</v>
      </c>
      <c r="D67" s="1" t="s">
        <v>648</v>
      </c>
      <c r="E67" s="70">
        <v>34600838062</v>
      </c>
      <c r="F67" s="1" t="s">
        <v>56</v>
      </c>
      <c r="G67" s="73">
        <v>45727</v>
      </c>
      <c r="H67" s="4"/>
      <c r="I67" s="4" t="s">
        <v>459</v>
      </c>
      <c r="J67" s="66" t="b">
        <v>0</v>
      </c>
      <c r="K67" s="67" t="b">
        <v>0</v>
      </c>
      <c r="L67" s="68" t="b">
        <v>0</v>
      </c>
      <c r="M67" s="66" t="b">
        <v>0</v>
      </c>
      <c r="N67" s="67" t="b">
        <v>0</v>
      </c>
      <c r="O67" s="68" t="b">
        <v>0</v>
      </c>
      <c r="P67" s="66" t="b">
        <v>0</v>
      </c>
      <c r="Q67" s="67" t="b">
        <v>0</v>
      </c>
      <c r="R67" s="68" t="b">
        <v>0</v>
      </c>
      <c r="S67" s="8"/>
      <c r="T67" s="4"/>
      <c r="U67" s="4"/>
      <c r="V67" s="4"/>
      <c r="W67" s="4"/>
      <c r="X67" s="4"/>
    </row>
    <row r="68" spans="1:24" ht="14.5">
      <c r="A68" s="1" t="s">
        <v>5</v>
      </c>
      <c r="B68" s="1"/>
      <c r="C68" s="1" t="s">
        <v>649</v>
      </c>
      <c r="D68" s="1" t="s">
        <v>650</v>
      </c>
      <c r="E68" s="70">
        <v>34671406773</v>
      </c>
      <c r="F68" s="1" t="s">
        <v>528</v>
      </c>
      <c r="G68" s="73">
        <v>45729</v>
      </c>
      <c r="H68" s="4"/>
      <c r="I68" s="4" t="s">
        <v>459</v>
      </c>
      <c r="J68" s="66" t="b">
        <v>0</v>
      </c>
      <c r="K68" s="67" t="b">
        <v>0</v>
      </c>
      <c r="L68" s="68" t="b">
        <v>0</v>
      </c>
      <c r="M68" s="66" t="b">
        <v>0</v>
      </c>
      <c r="N68" s="67" t="b">
        <v>0</v>
      </c>
      <c r="O68" s="68" t="b">
        <v>0</v>
      </c>
      <c r="P68" s="66" t="b">
        <v>0</v>
      </c>
      <c r="Q68" s="67" t="b">
        <v>0</v>
      </c>
      <c r="R68" s="68" t="b">
        <v>0</v>
      </c>
      <c r="S68" s="8"/>
      <c r="T68" s="4"/>
      <c r="U68" s="4"/>
      <c r="V68" s="4"/>
      <c r="W68" s="4"/>
      <c r="X68" s="4"/>
    </row>
    <row r="69" spans="1:24" ht="14.5">
      <c r="A69" s="1" t="s">
        <v>5</v>
      </c>
      <c r="B69" s="1"/>
      <c r="C69" s="1" t="s">
        <v>651</v>
      </c>
      <c r="D69" s="1" t="s">
        <v>652</v>
      </c>
      <c r="E69" s="70">
        <v>34672731777</v>
      </c>
      <c r="F69" s="1" t="s">
        <v>636</v>
      </c>
      <c r="G69" s="73">
        <v>45730</v>
      </c>
      <c r="H69" s="4"/>
      <c r="I69" s="4" t="s">
        <v>459</v>
      </c>
      <c r="J69" s="66" t="b">
        <v>0</v>
      </c>
      <c r="K69" s="67" t="b">
        <v>0</v>
      </c>
      <c r="L69" s="68" t="b">
        <v>0</v>
      </c>
      <c r="M69" s="66" t="b">
        <v>0</v>
      </c>
      <c r="N69" s="67" t="b">
        <v>0</v>
      </c>
      <c r="O69" s="68" t="b">
        <v>0</v>
      </c>
      <c r="P69" s="66" t="b">
        <v>0</v>
      </c>
      <c r="Q69" s="67" t="b">
        <v>0</v>
      </c>
      <c r="R69" s="68" t="b">
        <v>0</v>
      </c>
      <c r="S69" s="8"/>
      <c r="T69" s="4"/>
      <c r="U69" s="4"/>
      <c r="V69" s="4"/>
      <c r="W69" s="4"/>
      <c r="X69" s="4"/>
    </row>
    <row r="70" spans="1:24" ht="14.5">
      <c r="A70" s="1" t="s">
        <v>5</v>
      </c>
      <c r="B70" s="1"/>
      <c r="C70" s="1" t="s">
        <v>653</v>
      </c>
      <c r="D70" s="1" t="s">
        <v>654</v>
      </c>
      <c r="E70" s="70">
        <v>56987440059</v>
      </c>
      <c r="F70" s="1" t="s">
        <v>56</v>
      </c>
      <c r="G70" s="73">
        <v>45731</v>
      </c>
      <c r="H70" s="4"/>
      <c r="I70" s="4" t="s">
        <v>459</v>
      </c>
      <c r="J70" s="66" t="b">
        <v>0</v>
      </c>
      <c r="K70" s="67" t="b">
        <v>0</v>
      </c>
      <c r="L70" s="68" t="b">
        <v>0</v>
      </c>
      <c r="M70" s="66" t="b">
        <v>0</v>
      </c>
      <c r="N70" s="67" t="b">
        <v>0</v>
      </c>
      <c r="O70" s="68" t="b">
        <v>0</v>
      </c>
      <c r="P70" s="66" t="b">
        <v>0</v>
      </c>
      <c r="Q70" s="67" t="b">
        <v>0</v>
      </c>
      <c r="R70" s="68" t="b">
        <v>0</v>
      </c>
      <c r="S70" s="8"/>
      <c r="T70" s="4"/>
      <c r="U70" s="4"/>
      <c r="V70" s="4"/>
      <c r="W70" s="4"/>
      <c r="X70" s="4"/>
    </row>
    <row r="71" spans="1:24" ht="14.5">
      <c r="A71" s="1" t="s">
        <v>5</v>
      </c>
      <c r="B71" s="1"/>
      <c r="C71" s="1" t="s">
        <v>655</v>
      </c>
      <c r="D71" s="1" t="s">
        <v>656</v>
      </c>
      <c r="E71" s="70">
        <v>573108100640</v>
      </c>
      <c r="F71" s="1" t="s">
        <v>657</v>
      </c>
      <c r="G71" s="73">
        <v>45731</v>
      </c>
      <c r="H71" s="4"/>
      <c r="I71" s="4" t="s">
        <v>459</v>
      </c>
      <c r="J71" s="66" t="b">
        <v>0</v>
      </c>
      <c r="K71" s="67" t="b">
        <v>0</v>
      </c>
      <c r="L71" s="68" t="b">
        <v>0</v>
      </c>
      <c r="M71" s="66" t="b">
        <v>0</v>
      </c>
      <c r="N71" s="67" t="b">
        <v>0</v>
      </c>
      <c r="O71" s="68" t="b">
        <v>0</v>
      </c>
      <c r="P71" s="66" t="b">
        <v>0</v>
      </c>
      <c r="Q71" s="67" t="b">
        <v>0</v>
      </c>
      <c r="R71" s="68" t="b">
        <v>0</v>
      </c>
      <c r="S71" s="8"/>
      <c r="T71" s="4"/>
      <c r="U71" s="4"/>
      <c r="V71" s="4"/>
      <c r="W71" s="4"/>
      <c r="X71" s="4"/>
    </row>
    <row r="72" spans="1:24" ht="14.5">
      <c r="A72" s="1" t="s">
        <v>5</v>
      </c>
      <c r="B72" s="1"/>
      <c r="C72" s="1" t="s">
        <v>658</v>
      </c>
      <c r="D72" s="1" t="s">
        <v>457</v>
      </c>
      <c r="E72" s="70">
        <v>34722134659</v>
      </c>
      <c r="F72" s="1" t="s">
        <v>481</v>
      </c>
      <c r="G72" s="73">
        <v>45732</v>
      </c>
      <c r="H72" s="4"/>
      <c r="I72" s="4" t="s">
        <v>459</v>
      </c>
      <c r="J72" s="66" t="b">
        <v>0</v>
      </c>
      <c r="K72" s="67" t="b">
        <v>0</v>
      </c>
      <c r="L72" s="68" t="b">
        <v>0</v>
      </c>
      <c r="M72" s="66" t="b">
        <v>0</v>
      </c>
      <c r="N72" s="67" t="b">
        <v>0</v>
      </c>
      <c r="O72" s="68" t="b">
        <v>0</v>
      </c>
      <c r="P72" s="66" t="b">
        <v>0</v>
      </c>
      <c r="Q72" s="67" t="b">
        <v>0</v>
      </c>
      <c r="R72" s="68" t="b">
        <v>0</v>
      </c>
      <c r="S72" s="8"/>
      <c r="T72" s="4"/>
      <c r="U72" s="4"/>
      <c r="V72" s="4"/>
      <c r="W72" s="4"/>
      <c r="X72" s="4"/>
    </row>
    <row r="73" spans="1:24" ht="14.5">
      <c r="A73" s="1" t="s">
        <v>5</v>
      </c>
      <c r="B73" s="1"/>
      <c r="C73" s="1" t="s">
        <v>659</v>
      </c>
      <c r="D73" s="1" t="s">
        <v>660</v>
      </c>
      <c r="E73" s="70">
        <v>573013473664</v>
      </c>
      <c r="F73" s="1" t="s">
        <v>496</v>
      </c>
      <c r="G73" s="73">
        <v>45732</v>
      </c>
      <c r="H73" s="4"/>
      <c r="I73" s="4" t="s">
        <v>459</v>
      </c>
      <c r="J73" s="66" t="b">
        <v>0</v>
      </c>
      <c r="K73" s="67" t="b">
        <v>0</v>
      </c>
      <c r="L73" s="68" t="b">
        <v>0</v>
      </c>
      <c r="M73" s="66" t="b">
        <v>0</v>
      </c>
      <c r="N73" s="67" t="b">
        <v>0</v>
      </c>
      <c r="O73" s="68" t="b">
        <v>0</v>
      </c>
      <c r="P73" s="66" t="b">
        <v>0</v>
      </c>
      <c r="Q73" s="67" t="b">
        <v>0</v>
      </c>
      <c r="R73" s="68" t="b">
        <v>0</v>
      </c>
      <c r="S73" s="8"/>
      <c r="T73" s="4"/>
      <c r="U73" s="4"/>
      <c r="V73" s="4"/>
      <c r="W73" s="4"/>
      <c r="X73" s="4"/>
    </row>
    <row r="74" spans="1:24" ht="14.5">
      <c r="A74" s="1" t="s">
        <v>5</v>
      </c>
      <c r="B74" s="1"/>
      <c r="C74" s="1" t="s">
        <v>661</v>
      </c>
      <c r="D74" s="1" t="s">
        <v>662</v>
      </c>
      <c r="E74" s="70">
        <v>34665198193</v>
      </c>
      <c r="F74" s="1" t="s">
        <v>343</v>
      </c>
      <c r="G74" s="73">
        <v>45734</v>
      </c>
      <c r="H74" s="4"/>
      <c r="I74" s="4" t="s">
        <v>459</v>
      </c>
      <c r="J74" s="66" t="b">
        <v>0</v>
      </c>
      <c r="K74" s="67" t="b">
        <v>0</v>
      </c>
      <c r="L74" s="68" t="b">
        <v>0</v>
      </c>
      <c r="M74" s="66" t="b">
        <v>0</v>
      </c>
      <c r="N74" s="67" t="b">
        <v>0</v>
      </c>
      <c r="O74" s="68" t="b">
        <v>0</v>
      </c>
      <c r="P74" s="66" t="b">
        <v>0</v>
      </c>
      <c r="Q74" s="67" t="b">
        <v>0</v>
      </c>
      <c r="R74" s="68" t="b">
        <v>0</v>
      </c>
      <c r="S74" s="8"/>
      <c r="T74" s="4"/>
      <c r="U74" s="4"/>
      <c r="V74" s="4"/>
      <c r="W74" s="4"/>
      <c r="X74" s="4"/>
    </row>
    <row r="75" spans="1:24" ht="14.5">
      <c r="A75" s="1" t="s">
        <v>5</v>
      </c>
      <c r="B75" s="1"/>
      <c r="C75" s="1" t="s">
        <v>663</v>
      </c>
      <c r="D75" s="1" t="s">
        <v>457</v>
      </c>
      <c r="E75" s="70">
        <v>34722134659</v>
      </c>
      <c r="F75" s="1" t="s">
        <v>83</v>
      </c>
      <c r="G75" s="1" t="s">
        <v>664</v>
      </c>
      <c r="H75" s="4"/>
      <c r="I75" s="4" t="s">
        <v>459</v>
      </c>
      <c r="J75" s="66" t="b">
        <v>0</v>
      </c>
      <c r="K75" s="67" t="b">
        <v>0</v>
      </c>
      <c r="L75" s="68" t="b">
        <v>0</v>
      </c>
      <c r="M75" s="66" t="b">
        <v>0</v>
      </c>
      <c r="N75" s="67" t="b">
        <v>0</v>
      </c>
      <c r="O75" s="68" t="b">
        <v>0</v>
      </c>
      <c r="P75" s="66" t="b">
        <v>0</v>
      </c>
      <c r="Q75" s="67" t="b">
        <v>0</v>
      </c>
      <c r="R75" s="68" t="b">
        <v>0</v>
      </c>
      <c r="S75" s="8"/>
      <c r="T75" s="4"/>
      <c r="U75" s="4"/>
      <c r="V75" s="4"/>
      <c r="W75" s="4"/>
      <c r="X75" s="4"/>
    </row>
    <row r="76" spans="1:24" ht="14.5">
      <c r="A76" s="1" t="s">
        <v>5</v>
      </c>
      <c r="B76" s="1"/>
      <c r="C76" s="1" t="s">
        <v>665</v>
      </c>
      <c r="D76" s="1" t="s">
        <v>666</v>
      </c>
      <c r="E76" s="70">
        <v>5492302541985</v>
      </c>
      <c r="F76" s="1" t="s">
        <v>56</v>
      </c>
      <c r="G76" s="73">
        <v>45738</v>
      </c>
      <c r="H76" s="4"/>
      <c r="I76" s="4" t="s">
        <v>459</v>
      </c>
      <c r="J76" s="66" t="b">
        <v>0</v>
      </c>
      <c r="K76" s="67" t="b">
        <v>0</v>
      </c>
      <c r="L76" s="68" t="b">
        <v>0</v>
      </c>
      <c r="M76" s="66" t="b">
        <v>0</v>
      </c>
      <c r="N76" s="67" t="b">
        <v>0</v>
      </c>
      <c r="O76" s="68" t="b">
        <v>0</v>
      </c>
      <c r="P76" s="66" t="b">
        <v>0</v>
      </c>
      <c r="Q76" s="67" t="b">
        <v>0</v>
      </c>
      <c r="R76" s="68" t="b">
        <v>0</v>
      </c>
      <c r="S76" s="8"/>
      <c r="T76" s="4"/>
      <c r="U76" s="4"/>
      <c r="V76" s="4"/>
      <c r="W76" s="4"/>
      <c r="X76" s="4"/>
    </row>
    <row r="77" spans="1:24" ht="14.5">
      <c r="A77" s="1" t="s">
        <v>5</v>
      </c>
      <c r="B77" s="1"/>
      <c r="C77" s="1" t="s">
        <v>667</v>
      </c>
      <c r="D77" s="1" t="s">
        <v>668</v>
      </c>
      <c r="E77" s="70">
        <v>54383308579</v>
      </c>
      <c r="F77" s="1" t="s">
        <v>44</v>
      </c>
      <c r="G77" s="73">
        <v>45742</v>
      </c>
      <c r="H77" s="4"/>
      <c r="I77" s="4" t="s">
        <v>459</v>
      </c>
      <c r="J77" s="66" t="b">
        <v>0</v>
      </c>
      <c r="K77" s="67" t="b">
        <v>0</v>
      </c>
      <c r="L77" s="68" t="b">
        <v>0</v>
      </c>
      <c r="M77" s="66" t="b">
        <v>0</v>
      </c>
      <c r="N77" s="67" t="b">
        <v>0</v>
      </c>
      <c r="O77" s="68" t="b">
        <v>0</v>
      </c>
      <c r="P77" s="66" t="b">
        <v>0</v>
      </c>
      <c r="Q77" s="67" t="b">
        <v>0</v>
      </c>
      <c r="R77" s="68" t="b">
        <v>0</v>
      </c>
      <c r="S77" s="8"/>
      <c r="T77" s="4"/>
      <c r="U77" s="4"/>
      <c r="V77" s="4"/>
      <c r="W77" s="4"/>
      <c r="X77" s="4"/>
    </row>
    <row r="78" spans="1:24" ht="14.5">
      <c r="A78" s="1" t="s">
        <v>5</v>
      </c>
      <c r="B78" s="1"/>
      <c r="C78" s="1" t="s">
        <v>669</v>
      </c>
      <c r="D78" s="1" t="s">
        <v>670</v>
      </c>
      <c r="E78" s="70">
        <v>593995416318</v>
      </c>
      <c r="F78" s="1" t="s">
        <v>524</v>
      </c>
      <c r="G78" s="73">
        <v>45742</v>
      </c>
      <c r="H78" s="4"/>
      <c r="I78" s="4" t="s">
        <v>459</v>
      </c>
      <c r="J78" s="66" t="b">
        <v>0</v>
      </c>
      <c r="K78" s="67" t="b">
        <v>0</v>
      </c>
      <c r="L78" s="68" t="b">
        <v>0</v>
      </c>
      <c r="M78" s="66" t="b">
        <v>0</v>
      </c>
      <c r="N78" s="67" t="b">
        <v>0</v>
      </c>
      <c r="O78" s="68" t="b">
        <v>0</v>
      </c>
      <c r="P78" s="66" t="b">
        <v>0</v>
      </c>
      <c r="Q78" s="67" t="b">
        <v>0</v>
      </c>
      <c r="R78" s="68" t="b">
        <v>0</v>
      </c>
      <c r="S78" s="8"/>
      <c r="T78" s="4"/>
      <c r="U78" s="4"/>
      <c r="V78" s="4"/>
      <c r="W78" s="4"/>
      <c r="X78" s="4"/>
    </row>
    <row r="79" spans="1:24" ht="14.5">
      <c r="A79" s="1" t="s">
        <v>5</v>
      </c>
      <c r="B79" s="1"/>
      <c r="C79" s="1" t="s">
        <v>671</v>
      </c>
      <c r="D79" s="1" t="s">
        <v>672</v>
      </c>
      <c r="E79" s="70">
        <v>34608446237</v>
      </c>
      <c r="F79" s="1" t="s">
        <v>496</v>
      </c>
      <c r="G79" s="73">
        <v>45744</v>
      </c>
      <c r="H79" s="4"/>
      <c r="I79" s="4" t="s">
        <v>459</v>
      </c>
      <c r="J79" s="66" t="b">
        <v>0</v>
      </c>
      <c r="K79" s="67" t="b">
        <v>0</v>
      </c>
      <c r="L79" s="68" t="b">
        <v>0</v>
      </c>
      <c r="M79" s="66" t="b">
        <v>0</v>
      </c>
      <c r="N79" s="67" t="b">
        <v>0</v>
      </c>
      <c r="O79" s="68" t="b">
        <v>0</v>
      </c>
      <c r="P79" s="66" t="b">
        <v>0</v>
      </c>
      <c r="Q79" s="67" t="b">
        <v>0</v>
      </c>
      <c r="R79" s="68" t="b">
        <v>0</v>
      </c>
      <c r="S79" s="8"/>
      <c r="T79" s="4"/>
      <c r="U79" s="4"/>
      <c r="V79" s="4"/>
      <c r="W79" s="4"/>
      <c r="X79" s="4"/>
    </row>
    <row r="80" spans="1:24" ht="14.5">
      <c r="A80" s="1" t="s">
        <v>5</v>
      </c>
      <c r="B80" s="1"/>
      <c r="C80" s="1" t="s">
        <v>673</v>
      </c>
      <c r="D80" s="1" t="s">
        <v>674</v>
      </c>
      <c r="E80" s="70">
        <v>34678125290</v>
      </c>
      <c r="F80" s="1" t="s">
        <v>83</v>
      </c>
      <c r="G80" s="73">
        <v>45746</v>
      </c>
      <c r="H80" s="4"/>
      <c r="I80" s="4" t="s">
        <v>459</v>
      </c>
      <c r="J80" s="66" t="b">
        <v>0</v>
      </c>
      <c r="K80" s="67" t="b">
        <v>0</v>
      </c>
      <c r="L80" s="68" t="b">
        <v>0</v>
      </c>
      <c r="M80" s="66" t="b">
        <v>0</v>
      </c>
      <c r="N80" s="67" t="b">
        <v>0</v>
      </c>
      <c r="O80" s="68" t="b">
        <v>0</v>
      </c>
      <c r="P80" s="66" t="b">
        <v>0</v>
      </c>
      <c r="Q80" s="67" t="b">
        <v>0</v>
      </c>
      <c r="R80" s="68" t="b">
        <v>0</v>
      </c>
      <c r="S80" s="8"/>
      <c r="T80" s="4"/>
      <c r="U80" s="4"/>
      <c r="V80" s="4"/>
      <c r="W80" s="4"/>
      <c r="X80" s="4"/>
    </row>
    <row r="81" spans="1:26" ht="14.5">
      <c r="A81" s="1" t="s">
        <v>5</v>
      </c>
      <c r="B81" s="1"/>
      <c r="C81" s="1" t="s">
        <v>675</v>
      </c>
      <c r="D81" s="1" t="s">
        <v>676</v>
      </c>
      <c r="E81" s="70">
        <v>34640088852</v>
      </c>
      <c r="F81" s="1" t="s">
        <v>52</v>
      </c>
      <c r="G81" s="73">
        <v>45748</v>
      </c>
      <c r="H81" s="4"/>
      <c r="I81" s="4" t="s">
        <v>448</v>
      </c>
      <c r="J81" s="66" t="b">
        <v>0</v>
      </c>
      <c r="K81" s="67" t="b">
        <v>0</v>
      </c>
      <c r="L81" s="68" t="b">
        <v>0</v>
      </c>
      <c r="M81" s="66" t="b">
        <v>0</v>
      </c>
      <c r="N81" s="67" t="b">
        <v>0</v>
      </c>
      <c r="O81" s="68" t="b">
        <v>0</v>
      </c>
      <c r="P81" s="66" t="b">
        <v>0</v>
      </c>
      <c r="Q81" s="67" t="b">
        <v>0</v>
      </c>
      <c r="R81" s="68" t="b">
        <v>0</v>
      </c>
      <c r="S81" s="8"/>
      <c r="T81" s="4"/>
      <c r="U81" s="4"/>
      <c r="V81" s="4"/>
      <c r="W81" s="4"/>
      <c r="X81" s="4"/>
      <c r="Z81" s="4" t="s">
        <v>677</v>
      </c>
    </row>
    <row r="82" spans="1:26" ht="15.5">
      <c r="A82" s="1" t="s">
        <v>5</v>
      </c>
      <c r="B82" s="1" t="s">
        <v>119</v>
      </c>
      <c r="C82" s="1" t="s">
        <v>678</v>
      </c>
      <c r="D82" s="1" t="s">
        <v>679</v>
      </c>
      <c r="E82" s="70">
        <v>34655657562</v>
      </c>
      <c r="F82" s="74" t="s">
        <v>27</v>
      </c>
      <c r="G82" s="1"/>
      <c r="H82" s="4"/>
      <c r="I82" s="4" t="s">
        <v>448</v>
      </c>
      <c r="J82" s="66" t="b">
        <v>0</v>
      </c>
      <c r="K82" s="67" t="b">
        <v>0</v>
      </c>
      <c r="L82" s="68" t="b">
        <v>0</v>
      </c>
      <c r="M82" s="66" t="b">
        <v>0</v>
      </c>
      <c r="N82" s="67" t="b">
        <v>0</v>
      </c>
      <c r="O82" s="68" t="b">
        <v>0</v>
      </c>
      <c r="P82" s="66" t="b">
        <v>0</v>
      </c>
      <c r="Q82" s="67" t="b">
        <v>0</v>
      </c>
      <c r="R82" s="68" t="b">
        <v>0</v>
      </c>
      <c r="S82" s="8"/>
      <c r="T82" s="8"/>
      <c r="U82" s="8"/>
      <c r="V82" s="8"/>
      <c r="W82" s="8"/>
      <c r="X82" s="8">
        <v>45690</v>
      </c>
      <c r="Z82" s="4" t="s">
        <v>680</v>
      </c>
    </row>
    <row r="83" spans="1:26" ht="15.5">
      <c r="A83" s="1" t="s">
        <v>5</v>
      </c>
      <c r="B83" s="1" t="s">
        <v>119</v>
      </c>
      <c r="C83" s="1" t="s">
        <v>681</v>
      </c>
      <c r="D83" s="1" t="s">
        <v>682</v>
      </c>
      <c r="E83" s="70">
        <v>34629369753</v>
      </c>
      <c r="F83" s="74" t="s">
        <v>27</v>
      </c>
      <c r="G83" s="73">
        <v>45750</v>
      </c>
      <c r="H83" s="4"/>
      <c r="I83" s="4" t="s">
        <v>448</v>
      </c>
      <c r="J83" s="66" t="b">
        <v>0</v>
      </c>
      <c r="K83" s="67" t="b">
        <v>0</v>
      </c>
      <c r="L83" s="68" t="b">
        <v>0</v>
      </c>
      <c r="M83" s="66" t="b">
        <v>0</v>
      </c>
      <c r="N83" s="67" t="b">
        <v>0</v>
      </c>
      <c r="O83" s="68" t="b">
        <v>0</v>
      </c>
      <c r="P83" s="66" t="b">
        <v>0</v>
      </c>
      <c r="Q83" s="67" t="b">
        <v>0</v>
      </c>
      <c r="R83" s="68" t="b">
        <v>0</v>
      </c>
      <c r="S83" s="8"/>
      <c r="T83" s="8"/>
      <c r="U83" s="8"/>
      <c r="V83" s="8"/>
      <c r="W83" s="8"/>
      <c r="X83" s="8">
        <v>45751</v>
      </c>
      <c r="Z83" s="4" t="s">
        <v>683</v>
      </c>
    </row>
    <row r="84" spans="1:26" ht="15.5">
      <c r="A84" s="1" t="s">
        <v>5</v>
      </c>
      <c r="B84" s="1"/>
      <c r="C84" s="1" t="s">
        <v>684</v>
      </c>
      <c r="D84" s="1" t="s">
        <v>685</v>
      </c>
      <c r="E84" s="70">
        <v>19057837168</v>
      </c>
      <c r="F84" s="74" t="s">
        <v>481</v>
      </c>
      <c r="G84" s="73">
        <v>45751</v>
      </c>
      <c r="H84" s="4"/>
      <c r="I84" s="4" t="s">
        <v>448</v>
      </c>
      <c r="J84" s="66" t="b">
        <v>0</v>
      </c>
      <c r="K84" s="67" t="b">
        <v>0</v>
      </c>
      <c r="L84" s="68" t="b">
        <v>0</v>
      </c>
      <c r="M84" s="66" t="b">
        <v>0</v>
      </c>
      <c r="N84" s="67" t="b">
        <v>0</v>
      </c>
      <c r="O84" s="68" t="b">
        <v>0</v>
      </c>
      <c r="P84" s="66" t="b">
        <v>0</v>
      </c>
      <c r="Q84" s="67" t="b">
        <v>0</v>
      </c>
      <c r="R84" s="68" t="b">
        <v>0</v>
      </c>
      <c r="S84" s="8"/>
      <c r="T84" s="8"/>
      <c r="U84" s="8"/>
      <c r="V84" s="8"/>
      <c r="W84" s="8"/>
      <c r="X84" s="8">
        <v>45689</v>
      </c>
      <c r="Y84" s="4" t="s">
        <v>686</v>
      </c>
      <c r="Z84" s="4"/>
    </row>
    <row r="85" spans="1:26" ht="15.5">
      <c r="A85" s="1" t="s">
        <v>5</v>
      </c>
      <c r="B85" s="1"/>
      <c r="C85" s="1" t="s">
        <v>687</v>
      </c>
      <c r="D85" s="1" t="s">
        <v>688</v>
      </c>
      <c r="E85" s="70">
        <v>524494372352</v>
      </c>
      <c r="F85" s="74" t="s">
        <v>689</v>
      </c>
      <c r="G85" s="73">
        <v>45751</v>
      </c>
      <c r="H85" s="4"/>
      <c r="I85" s="4" t="s">
        <v>459</v>
      </c>
      <c r="J85" s="66" t="b">
        <v>0</v>
      </c>
      <c r="K85" s="67" t="b">
        <v>0</v>
      </c>
      <c r="L85" s="68" t="b">
        <v>0</v>
      </c>
      <c r="M85" s="66" t="b">
        <v>0</v>
      </c>
      <c r="N85" s="67" t="b">
        <v>0</v>
      </c>
      <c r="O85" s="68" t="b">
        <v>0</v>
      </c>
      <c r="P85" s="66" t="b">
        <v>0</v>
      </c>
      <c r="Q85" s="67" t="b">
        <v>0</v>
      </c>
      <c r="R85" s="68" t="b">
        <v>0</v>
      </c>
      <c r="S85" s="8"/>
    </row>
    <row r="86" spans="1:26" ht="15.5">
      <c r="A86" s="1" t="s">
        <v>5</v>
      </c>
      <c r="B86" s="1"/>
      <c r="C86" s="1" t="s">
        <v>690</v>
      </c>
      <c r="D86" s="1" t="s">
        <v>691</v>
      </c>
      <c r="E86" s="70">
        <v>34648621431</v>
      </c>
      <c r="F86" s="74" t="s">
        <v>307</v>
      </c>
      <c r="G86" s="73">
        <v>45753</v>
      </c>
      <c r="H86" s="4"/>
      <c r="I86" s="4" t="s">
        <v>448</v>
      </c>
      <c r="J86" s="66" t="b">
        <v>0</v>
      </c>
      <c r="K86" s="67" t="b">
        <v>0</v>
      </c>
      <c r="L86" s="68" t="b">
        <v>0</v>
      </c>
      <c r="M86" s="66" t="b">
        <v>0</v>
      </c>
      <c r="N86" s="67" t="b">
        <v>0</v>
      </c>
      <c r="O86" s="68" t="b">
        <v>0</v>
      </c>
      <c r="P86" s="66" t="b">
        <v>0</v>
      </c>
      <c r="Q86" s="67" t="b">
        <v>0</v>
      </c>
      <c r="R86" s="68" t="b">
        <v>0</v>
      </c>
      <c r="S86" s="8"/>
      <c r="T86" s="8"/>
      <c r="U86" s="8"/>
      <c r="V86" s="8"/>
      <c r="W86" s="8"/>
      <c r="X86" s="8">
        <v>45658</v>
      </c>
      <c r="Z86" s="4" t="s">
        <v>692</v>
      </c>
    </row>
    <row r="87" spans="1:26" ht="14.5">
      <c r="A87" s="1" t="s">
        <v>5</v>
      </c>
      <c r="B87" s="1"/>
      <c r="C87" s="1" t="s">
        <v>693</v>
      </c>
      <c r="D87" s="1" t="s">
        <v>694</v>
      </c>
      <c r="E87" s="70">
        <v>34686836575</v>
      </c>
      <c r="F87" s="1" t="s">
        <v>368</v>
      </c>
      <c r="G87" s="1"/>
      <c r="H87" s="4"/>
      <c r="I87" s="4" t="s">
        <v>448</v>
      </c>
      <c r="J87" s="66" t="b">
        <v>0</v>
      </c>
      <c r="K87" s="67" t="b">
        <v>0</v>
      </c>
      <c r="L87" s="68" t="b">
        <v>0</v>
      </c>
      <c r="M87" s="66" t="b">
        <v>0</v>
      </c>
      <c r="N87" s="67" t="b">
        <v>0</v>
      </c>
      <c r="O87" s="68" t="b">
        <v>0</v>
      </c>
      <c r="P87" s="66" t="b">
        <v>0</v>
      </c>
      <c r="Q87" s="67" t="b">
        <v>0</v>
      </c>
      <c r="R87" s="68" t="b">
        <v>0</v>
      </c>
      <c r="S87" s="8"/>
      <c r="T87" s="8"/>
      <c r="U87" s="8"/>
      <c r="V87" s="8"/>
      <c r="W87" s="8"/>
      <c r="X87" s="8">
        <v>45658</v>
      </c>
    </row>
    <row r="88" spans="1:26" ht="14.5">
      <c r="A88" s="1" t="s">
        <v>5</v>
      </c>
      <c r="B88" s="1"/>
      <c r="C88" s="1" t="s">
        <v>695</v>
      </c>
      <c r="D88" s="1" t="s">
        <v>696</v>
      </c>
      <c r="E88" s="70">
        <v>5493537656468</v>
      </c>
      <c r="F88" s="1" t="s">
        <v>697</v>
      </c>
      <c r="G88" s="73">
        <v>45757</v>
      </c>
      <c r="H88" s="4"/>
      <c r="I88" s="4" t="s">
        <v>459</v>
      </c>
      <c r="J88" s="66" t="b">
        <v>0</v>
      </c>
      <c r="K88" s="67" t="b">
        <v>0</v>
      </c>
      <c r="L88" s="68" t="b">
        <v>0</v>
      </c>
      <c r="M88" s="66" t="b">
        <v>0</v>
      </c>
      <c r="N88" s="67" t="b">
        <v>0</v>
      </c>
      <c r="O88" s="68" t="b">
        <v>0</v>
      </c>
      <c r="P88" s="66" t="b">
        <v>0</v>
      </c>
      <c r="Q88" s="67" t="b">
        <v>0</v>
      </c>
      <c r="R88" s="68" t="b">
        <v>0</v>
      </c>
      <c r="S88" s="8"/>
    </row>
    <row r="89" spans="1:26" ht="14.5">
      <c r="A89" s="1" t="s">
        <v>5</v>
      </c>
      <c r="B89" s="1"/>
      <c r="C89" s="1" t="s">
        <v>698</v>
      </c>
      <c r="D89" s="1" t="s">
        <v>699</v>
      </c>
      <c r="E89" s="70">
        <v>34647480947</v>
      </c>
      <c r="F89" s="1" t="s">
        <v>52</v>
      </c>
      <c r="G89" s="73">
        <v>45757</v>
      </c>
      <c r="H89" s="4"/>
      <c r="I89" s="4" t="s">
        <v>459</v>
      </c>
      <c r="J89" s="66" t="b">
        <v>0</v>
      </c>
      <c r="K89" s="67" t="b">
        <v>0</v>
      </c>
      <c r="L89" s="68" t="b">
        <v>0</v>
      </c>
      <c r="M89" s="66" t="b">
        <v>0</v>
      </c>
      <c r="N89" s="67" t="b">
        <v>0</v>
      </c>
      <c r="O89" s="68" t="b">
        <v>0</v>
      </c>
      <c r="P89" s="66" t="b">
        <v>0</v>
      </c>
      <c r="Q89" s="67" t="b">
        <v>0</v>
      </c>
      <c r="R89" s="68" t="b">
        <v>0</v>
      </c>
      <c r="S89" s="8"/>
    </row>
    <row r="90" spans="1:26" ht="14.5">
      <c r="A90" s="1" t="s">
        <v>5</v>
      </c>
      <c r="B90" s="1"/>
      <c r="C90" s="1" t="s">
        <v>700</v>
      </c>
      <c r="D90" s="1" t="s">
        <v>701</v>
      </c>
      <c r="E90" s="70">
        <v>34611477169</v>
      </c>
      <c r="F90" s="1" t="s">
        <v>702</v>
      </c>
      <c r="G90" s="73">
        <v>45757</v>
      </c>
      <c r="H90" s="4"/>
      <c r="I90" s="4" t="s">
        <v>448</v>
      </c>
      <c r="J90" s="66" t="b">
        <v>0</v>
      </c>
      <c r="K90" s="67" t="b">
        <v>0</v>
      </c>
      <c r="L90" s="68" t="b">
        <v>0</v>
      </c>
      <c r="M90" s="66" t="b">
        <v>0</v>
      </c>
      <c r="N90" s="67" t="b">
        <v>0</v>
      </c>
      <c r="O90" s="68" t="b">
        <v>0</v>
      </c>
      <c r="P90" s="66" t="b">
        <v>0</v>
      </c>
      <c r="Q90" s="67" t="b">
        <v>0</v>
      </c>
      <c r="R90" s="68" t="b">
        <v>0</v>
      </c>
      <c r="S90" s="8"/>
      <c r="T90" s="8"/>
      <c r="U90" s="8"/>
      <c r="V90" s="8"/>
      <c r="W90" s="8"/>
      <c r="X90" s="8">
        <v>45658</v>
      </c>
      <c r="Z90" s="4" t="s">
        <v>703</v>
      </c>
    </row>
    <row r="91" spans="1:26" ht="14.5">
      <c r="A91" s="1" t="s">
        <v>5</v>
      </c>
      <c r="B91" s="1"/>
      <c r="C91" s="1" t="s">
        <v>704</v>
      </c>
      <c r="D91" s="1" t="s">
        <v>705</v>
      </c>
      <c r="E91" s="70">
        <v>34677320262</v>
      </c>
      <c r="F91" s="1" t="s">
        <v>706</v>
      </c>
      <c r="G91" s="73">
        <v>45758</v>
      </c>
      <c r="H91" s="4"/>
      <c r="I91" s="4" t="s">
        <v>459</v>
      </c>
      <c r="J91" s="66" t="b">
        <v>0</v>
      </c>
      <c r="K91" s="67" t="b">
        <v>0</v>
      </c>
      <c r="L91" s="68" t="b">
        <v>0</v>
      </c>
      <c r="M91" s="66" t="b">
        <v>0</v>
      </c>
      <c r="N91" s="67" t="b">
        <v>0</v>
      </c>
      <c r="O91" s="68" t="b">
        <v>0</v>
      </c>
      <c r="P91" s="66" t="b">
        <v>0</v>
      </c>
      <c r="Q91" s="67" t="b">
        <v>0</v>
      </c>
      <c r="R91" s="68" t="b">
        <v>0</v>
      </c>
      <c r="S91" s="8"/>
    </row>
    <row r="92" spans="1:26" ht="14.5">
      <c r="A92" s="1" t="s">
        <v>5</v>
      </c>
      <c r="B92" s="1" t="s">
        <v>119</v>
      </c>
      <c r="C92" s="1" t="s">
        <v>707</v>
      </c>
      <c r="D92" s="1" t="s">
        <v>708</v>
      </c>
      <c r="E92" s="70">
        <v>34635364043</v>
      </c>
      <c r="F92" s="1" t="s">
        <v>27</v>
      </c>
      <c r="G92" s="73">
        <v>45761</v>
      </c>
      <c r="H92" s="4"/>
      <c r="I92" s="4" t="s">
        <v>448</v>
      </c>
      <c r="J92" s="66" t="b">
        <v>0</v>
      </c>
      <c r="K92" s="67" t="b">
        <v>0</v>
      </c>
      <c r="L92" s="68" t="b">
        <v>0</v>
      </c>
      <c r="M92" s="66" t="b">
        <v>0</v>
      </c>
      <c r="N92" s="67" t="b">
        <v>0</v>
      </c>
      <c r="O92" s="68" t="b">
        <v>0</v>
      </c>
      <c r="P92" s="66" t="b">
        <v>0</v>
      </c>
      <c r="Q92" s="67" t="b">
        <v>0</v>
      </c>
      <c r="R92" s="68" t="b">
        <v>0</v>
      </c>
      <c r="S92" s="8"/>
      <c r="T92" s="8"/>
      <c r="U92" s="8"/>
      <c r="V92" s="8"/>
      <c r="W92" s="8"/>
      <c r="X92" s="8">
        <v>45690</v>
      </c>
      <c r="Z92" s="4" t="s">
        <v>680</v>
      </c>
    </row>
    <row r="93" spans="1:26" ht="14.5">
      <c r="A93" s="1" t="s">
        <v>5</v>
      </c>
      <c r="B93" s="1"/>
      <c r="C93" s="1" t="s">
        <v>709</v>
      </c>
      <c r="D93" s="1" t="s">
        <v>710</v>
      </c>
      <c r="E93" s="70">
        <v>573203930337</v>
      </c>
      <c r="F93" s="1" t="s">
        <v>83</v>
      </c>
      <c r="G93" s="73">
        <v>45762</v>
      </c>
      <c r="H93" s="4"/>
      <c r="I93" s="4" t="s">
        <v>459</v>
      </c>
      <c r="J93" s="66" t="b">
        <v>0</v>
      </c>
      <c r="K93" s="67" t="b">
        <v>0</v>
      </c>
      <c r="L93" s="68" t="b">
        <v>0</v>
      </c>
      <c r="M93" s="66" t="b">
        <v>0</v>
      </c>
      <c r="N93" s="67" t="b">
        <v>0</v>
      </c>
      <c r="O93" s="68" t="b">
        <v>0</v>
      </c>
      <c r="P93" s="66" t="b">
        <v>0</v>
      </c>
      <c r="Q93" s="67" t="b">
        <v>0</v>
      </c>
      <c r="R93" s="68" t="b">
        <v>0</v>
      </c>
      <c r="S93" s="8"/>
    </row>
    <row r="94" spans="1:26" ht="14.5">
      <c r="A94" s="1" t="s">
        <v>5</v>
      </c>
      <c r="B94" s="1"/>
      <c r="C94" s="1" t="s">
        <v>711</v>
      </c>
      <c r="D94" s="1" t="s">
        <v>712</v>
      </c>
      <c r="E94" s="70">
        <v>34646350567</v>
      </c>
      <c r="F94" s="1" t="s">
        <v>713</v>
      </c>
      <c r="G94" s="73">
        <v>45756</v>
      </c>
      <c r="H94" s="4"/>
      <c r="I94" s="4" t="s">
        <v>448</v>
      </c>
      <c r="J94" s="66" t="b">
        <v>0</v>
      </c>
      <c r="K94" s="67" t="b">
        <v>0</v>
      </c>
      <c r="L94" s="68" t="b">
        <v>0</v>
      </c>
      <c r="M94" s="66" t="b">
        <v>0</v>
      </c>
      <c r="N94" s="67" t="b">
        <v>0</v>
      </c>
      <c r="O94" s="68" t="b">
        <v>0</v>
      </c>
      <c r="P94" s="66" t="b">
        <v>0</v>
      </c>
      <c r="Q94" s="67" t="b">
        <v>0</v>
      </c>
      <c r="R94" s="68" t="b">
        <v>0</v>
      </c>
      <c r="S94" s="8"/>
      <c r="T94" s="8"/>
      <c r="U94" s="8"/>
      <c r="V94" s="8"/>
      <c r="W94" s="8"/>
      <c r="X94" s="8">
        <v>45690</v>
      </c>
      <c r="Y94" s="4"/>
      <c r="Z94" s="4" t="s">
        <v>714</v>
      </c>
    </row>
    <row r="95" spans="1:26" ht="14.5">
      <c r="A95" s="1" t="s">
        <v>5</v>
      </c>
      <c r="B95" s="1"/>
      <c r="C95" s="1" t="s">
        <v>715</v>
      </c>
      <c r="D95" s="1" t="s">
        <v>716</v>
      </c>
      <c r="E95" s="70">
        <v>541153881782</v>
      </c>
      <c r="F95" s="1" t="s">
        <v>24</v>
      </c>
      <c r="G95" s="73">
        <v>45769</v>
      </c>
      <c r="H95" s="4"/>
      <c r="I95" s="4" t="s">
        <v>459</v>
      </c>
      <c r="J95" s="66" t="b">
        <v>0</v>
      </c>
      <c r="K95" s="67" t="b">
        <v>0</v>
      </c>
      <c r="L95" s="68" t="b">
        <v>0</v>
      </c>
      <c r="M95" s="66" t="b">
        <v>0</v>
      </c>
      <c r="N95" s="67" t="b">
        <v>0</v>
      </c>
      <c r="O95" s="68" t="b">
        <v>0</v>
      </c>
      <c r="P95" s="66" t="b">
        <v>0</v>
      </c>
      <c r="Q95" s="67" t="b">
        <v>0</v>
      </c>
      <c r="R95" s="68" t="b">
        <v>0</v>
      </c>
      <c r="S95" s="8"/>
      <c r="T95" s="8"/>
      <c r="U95" s="8"/>
      <c r="V95" s="8"/>
      <c r="W95" s="8"/>
      <c r="X95" s="8"/>
    </row>
    <row r="96" spans="1:26" ht="14.5">
      <c r="A96" s="1" t="s">
        <v>5</v>
      </c>
      <c r="B96" s="1"/>
      <c r="C96" s="1" t="s">
        <v>717</v>
      </c>
      <c r="D96" s="1" t="s">
        <v>718</v>
      </c>
      <c r="E96" s="70">
        <v>34657451740</v>
      </c>
      <c r="F96" s="1" t="s">
        <v>719</v>
      </c>
      <c r="G96" s="73">
        <v>45776</v>
      </c>
      <c r="H96" s="4"/>
      <c r="I96" s="4" t="s">
        <v>459</v>
      </c>
      <c r="J96" s="66" t="b">
        <v>0</v>
      </c>
      <c r="K96" s="67" t="b">
        <v>0</v>
      </c>
      <c r="L96" s="68" t="b">
        <v>0</v>
      </c>
      <c r="M96" s="66" t="b">
        <v>0</v>
      </c>
      <c r="N96" s="67" t="b">
        <v>0</v>
      </c>
      <c r="O96" s="68" t="b">
        <v>0</v>
      </c>
      <c r="P96" s="66" t="b">
        <v>0</v>
      </c>
      <c r="Q96" s="67" t="b">
        <v>0</v>
      </c>
      <c r="R96" s="68" t="b">
        <v>0</v>
      </c>
      <c r="S96" s="8"/>
      <c r="T96" s="8"/>
      <c r="U96" s="8"/>
      <c r="V96" s="8"/>
      <c r="W96" s="8"/>
      <c r="X96" s="8"/>
    </row>
    <row r="97" spans="1:25" ht="14.5">
      <c r="A97" s="1" t="s">
        <v>5</v>
      </c>
      <c r="B97" s="1"/>
      <c r="C97" s="1" t="s">
        <v>720</v>
      </c>
      <c r="D97" s="1" t="s">
        <v>721</v>
      </c>
      <c r="E97" s="70">
        <v>34620340998</v>
      </c>
      <c r="F97" s="1" t="s">
        <v>56</v>
      </c>
      <c r="G97" s="73">
        <v>45776</v>
      </c>
      <c r="H97" s="4"/>
      <c r="I97" s="4" t="s">
        <v>459</v>
      </c>
      <c r="J97" s="66" t="b">
        <v>0</v>
      </c>
      <c r="K97" s="67" t="b">
        <v>0</v>
      </c>
      <c r="L97" s="68" t="b">
        <v>0</v>
      </c>
      <c r="M97" s="66" t="b">
        <v>0</v>
      </c>
      <c r="N97" s="67" t="b">
        <v>0</v>
      </c>
      <c r="O97" s="68" t="b">
        <v>0</v>
      </c>
      <c r="P97" s="66" t="b">
        <v>0</v>
      </c>
      <c r="Q97" s="67" t="b">
        <v>0</v>
      </c>
      <c r="R97" s="68" t="b">
        <v>0</v>
      </c>
      <c r="S97" s="8"/>
      <c r="T97" s="8"/>
      <c r="U97" s="8"/>
      <c r="V97" s="8"/>
      <c r="W97" s="8"/>
      <c r="X97" s="8"/>
    </row>
    <row r="98" spans="1:25" ht="14.5">
      <c r="A98" s="1" t="s">
        <v>5</v>
      </c>
      <c r="B98" s="1"/>
      <c r="C98" s="1" t="s">
        <v>722</v>
      </c>
      <c r="D98" s="1" t="s">
        <v>723</v>
      </c>
      <c r="E98" s="70">
        <v>541150104271</v>
      </c>
      <c r="F98" s="1" t="s">
        <v>724</v>
      </c>
      <c r="G98" s="73">
        <v>45778</v>
      </c>
      <c r="H98" s="4"/>
      <c r="I98" s="4" t="s">
        <v>459</v>
      </c>
      <c r="J98" s="66" t="b">
        <v>0</v>
      </c>
      <c r="K98" s="67" t="b">
        <v>0</v>
      </c>
      <c r="L98" s="68" t="b">
        <v>0</v>
      </c>
      <c r="M98" s="66" t="b">
        <v>0</v>
      </c>
      <c r="N98" s="67" t="b">
        <v>0</v>
      </c>
      <c r="O98" s="68" t="b">
        <v>0</v>
      </c>
      <c r="P98" s="66" t="b">
        <v>0</v>
      </c>
      <c r="Q98" s="67" t="b">
        <v>0</v>
      </c>
      <c r="R98" s="68" t="b">
        <v>0</v>
      </c>
      <c r="S98" s="8"/>
      <c r="T98" s="8"/>
      <c r="U98" s="8"/>
      <c r="V98" s="8"/>
      <c r="W98" s="8"/>
      <c r="X98" s="8"/>
    </row>
    <row r="99" spans="1:25" ht="14.5">
      <c r="A99" s="1" t="s">
        <v>5</v>
      </c>
      <c r="B99" s="1"/>
      <c r="C99" s="1" t="s">
        <v>725</v>
      </c>
      <c r="D99" s="1" t="s">
        <v>726</v>
      </c>
      <c r="E99" s="70">
        <v>51992914162</v>
      </c>
      <c r="F99" s="1" t="s">
        <v>102</v>
      </c>
      <c r="G99" s="73">
        <v>45779</v>
      </c>
      <c r="H99" s="4"/>
      <c r="I99" s="4" t="s">
        <v>459</v>
      </c>
      <c r="J99" s="66" t="b">
        <v>0</v>
      </c>
      <c r="K99" s="67" t="b">
        <v>0</v>
      </c>
      <c r="L99" s="68" t="b">
        <v>0</v>
      </c>
      <c r="M99" s="66" t="b">
        <v>0</v>
      </c>
      <c r="N99" s="67" t="b">
        <v>0</v>
      </c>
      <c r="O99" s="68" t="b">
        <v>0</v>
      </c>
      <c r="P99" s="66" t="b">
        <v>0</v>
      </c>
      <c r="Q99" s="67" t="b">
        <v>0</v>
      </c>
      <c r="R99" s="68" t="b">
        <v>0</v>
      </c>
      <c r="S99" s="8"/>
      <c r="T99" s="8"/>
      <c r="U99" s="8"/>
      <c r="V99" s="8"/>
      <c r="W99" s="8"/>
      <c r="X99" s="8"/>
    </row>
    <row r="100" spans="1:25" ht="14.5">
      <c r="A100" s="1" t="s">
        <v>5</v>
      </c>
      <c r="B100" s="1"/>
      <c r="C100" s="1" t="s">
        <v>727</v>
      </c>
      <c r="D100" s="1" t="s">
        <v>728</v>
      </c>
      <c r="E100" s="70">
        <v>50689798076</v>
      </c>
      <c r="F100" s="1" t="s">
        <v>500</v>
      </c>
      <c r="G100" s="73">
        <v>45781</v>
      </c>
      <c r="H100" s="4"/>
      <c r="I100" s="4" t="s">
        <v>459</v>
      </c>
      <c r="J100" s="66" t="b">
        <v>0</v>
      </c>
      <c r="K100" s="67" t="b">
        <v>0</v>
      </c>
      <c r="L100" s="68" t="b">
        <v>0</v>
      </c>
      <c r="M100" s="66" t="b">
        <v>0</v>
      </c>
      <c r="N100" s="67" t="b">
        <v>0</v>
      </c>
      <c r="O100" s="68" t="b">
        <v>0</v>
      </c>
      <c r="P100" s="66" t="b">
        <v>0</v>
      </c>
      <c r="Q100" s="67" t="b">
        <v>0</v>
      </c>
      <c r="R100" s="68" t="b">
        <v>0</v>
      </c>
      <c r="S100" s="8"/>
      <c r="T100" s="8"/>
      <c r="U100" s="8"/>
      <c r="V100" s="8"/>
      <c r="W100" s="8"/>
      <c r="X100" s="8"/>
    </row>
    <row r="101" spans="1:25" ht="14.5">
      <c r="A101" s="1" t="s">
        <v>5</v>
      </c>
      <c r="B101" s="1"/>
      <c r="C101" s="1" t="s">
        <v>729</v>
      </c>
      <c r="D101" s="1" t="s">
        <v>730</v>
      </c>
      <c r="E101" s="70">
        <v>56988059221</v>
      </c>
      <c r="F101" s="1" t="s">
        <v>102</v>
      </c>
      <c r="G101" s="73">
        <v>45785</v>
      </c>
      <c r="H101" s="4"/>
      <c r="I101" s="4" t="s">
        <v>459</v>
      </c>
      <c r="J101" s="66" t="b">
        <v>0</v>
      </c>
      <c r="K101" s="67" t="b">
        <v>0</v>
      </c>
      <c r="L101" s="68" t="b">
        <v>0</v>
      </c>
      <c r="M101" s="66" t="b">
        <v>0</v>
      </c>
      <c r="N101" s="67" t="b">
        <v>0</v>
      </c>
      <c r="O101" s="68" t="b">
        <v>0</v>
      </c>
      <c r="P101" s="66" t="b">
        <v>0</v>
      </c>
      <c r="Q101" s="67" t="b">
        <v>0</v>
      </c>
      <c r="R101" s="68" t="b">
        <v>0</v>
      </c>
      <c r="S101" s="8"/>
      <c r="T101" s="8"/>
      <c r="U101" s="8"/>
      <c r="V101" s="8"/>
      <c r="W101" s="8"/>
      <c r="X101" s="8"/>
    </row>
    <row r="102" spans="1:25" ht="14.5">
      <c r="A102" s="1" t="s">
        <v>5</v>
      </c>
      <c r="B102" s="1"/>
      <c r="C102" s="1" t="s">
        <v>731</v>
      </c>
      <c r="D102" s="1" t="s">
        <v>732</v>
      </c>
      <c r="E102" s="70">
        <v>5390963629778</v>
      </c>
      <c r="F102" s="1" t="s">
        <v>102</v>
      </c>
      <c r="G102" s="73">
        <v>45785</v>
      </c>
      <c r="H102" s="4"/>
      <c r="I102" s="4" t="s">
        <v>459</v>
      </c>
      <c r="J102" s="66" t="b">
        <v>0</v>
      </c>
      <c r="K102" s="67" t="b">
        <v>0</v>
      </c>
      <c r="L102" s="68" t="b">
        <v>0</v>
      </c>
      <c r="M102" s="66" t="b">
        <v>0</v>
      </c>
      <c r="N102" s="67" t="b">
        <v>0</v>
      </c>
      <c r="O102" s="68" t="b">
        <v>0</v>
      </c>
      <c r="P102" s="66" t="b">
        <v>0</v>
      </c>
      <c r="Q102" s="67" t="b">
        <v>0</v>
      </c>
      <c r="R102" s="68" t="b">
        <v>0</v>
      </c>
      <c r="S102" s="8"/>
      <c r="T102" s="8"/>
      <c r="U102" s="8"/>
      <c r="V102" s="8"/>
      <c r="W102" s="8"/>
      <c r="X102" s="8"/>
    </row>
    <row r="103" spans="1:25" ht="14.5">
      <c r="A103" s="1" t="s">
        <v>5</v>
      </c>
      <c r="B103" s="1"/>
      <c r="C103" s="1" t="s">
        <v>733</v>
      </c>
      <c r="D103" s="1" t="s">
        <v>734</v>
      </c>
      <c r="E103" s="70">
        <f>542284590907</f>
        <v>542284590907</v>
      </c>
      <c r="F103" s="1" t="s">
        <v>735</v>
      </c>
      <c r="G103" s="73">
        <v>45789</v>
      </c>
      <c r="H103" s="4"/>
      <c r="I103" s="4" t="s">
        <v>459</v>
      </c>
      <c r="J103" s="66" t="b">
        <v>0</v>
      </c>
      <c r="K103" s="67" t="b">
        <v>0</v>
      </c>
      <c r="L103" s="68" t="b">
        <v>0</v>
      </c>
      <c r="M103" s="66" t="b">
        <v>0</v>
      </c>
      <c r="N103" s="67" t="b">
        <v>0</v>
      </c>
      <c r="O103" s="68" t="b">
        <v>0</v>
      </c>
      <c r="P103" s="66" t="b">
        <v>0</v>
      </c>
      <c r="Q103" s="67" t="b">
        <v>0</v>
      </c>
      <c r="R103" s="68" t="b">
        <v>0</v>
      </c>
      <c r="S103" s="8"/>
      <c r="T103" s="8"/>
      <c r="U103" s="8"/>
      <c r="V103" s="8"/>
      <c r="W103" s="8"/>
      <c r="X103" s="8"/>
    </row>
    <row r="104" spans="1:25" ht="14.5">
      <c r="A104" s="1" t="s">
        <v>5</v>
      </c>
      <c r="B104" s="1"/>
      <c r="C104" s="1" t="s">
        <v>736</v>
      </c>
      <c r="D104" s="1" t="s">
        <v>737</v>
      </c>
      <c r="E104" s="70">
        <v>18094461347</v>
      </c>
      <c r="F104" s="1" t="s">
        <v>481</v>
      </c>
      <c r="G104" s="73">
        <v>45789</v>
      </c>
      <c r="H104" s="4"/>
      <c r="I104" s="4" t="s">
        <v>459</v>
      </c>
      <c r="J104" s="66" t="b">
        <v>0</v>
      </c>
      <c r="K104" s="67" t="b">
        <v>0</v>
      </c>
      <c r="L104" s="68" t="b">
        <v>0</v>
      </c>
      <c r="M104" s="66" t="b">
        <v>0</v>
      </c>
      <c r="N104" s="67" t="b">
        <v>0</v>
      </c>
      <c r="O104" s="68" t="b">
        <v>0</v>
      </c>
      <c r="P104" s="66" t="b">
        <v>0</v>
      </c>
      <c r="Q104" s="67" t="b">
        <v>0</v>
      </c>
      <c r="R104" s="68" t="b">
        <v>0</v>
      </c>
      <c r="S104" s="8"/>
      <c r="T104" s="8"/>
      <c r="U104" s="8"/>
      <c r="V104" s="8"/>
      <c r="W104" s="8"/>
      <c r="X104" s="8"/>
    </row>
    <row r="105" spans="1:25" ht="14.5">
      <c r="A105" s="1" t="s">
        <v>5</v>
      </c>
      <c r="B105" s="1"/>
      <c r="C105" s="1" t="s">
        <v>738</v>
      </c>
      <c r="D105" s="1" t="s">
        <v>739</v>
      </c>
      <c r="E105" s="70">
        <v>522221143961</v>
      </c>
      <c r="F105" s="1" t="s">
        <v>740</v>
      </c>
      <c r="G105" s="73">
        <v>45790</v>
      </c>
      <c r="H105" s="4"/>
      <c r="I105" s="4" t="s">
        <v>459</v>
      </c>
      <c r="J105" s="66" t="b">
        <v>0</v>
      </c>
      <c r="K105" s="67" t="b">
        <v>0</v>
      </c>
      <c r="L105" s="68" t="b">
        <v>0</v>
      </c>
      <c r="M105" s="66" t="b">
        <v>0</v>
      </c>
      <c r="N105" s="67" t="b">
        <v>0</v>
      </c>
      <c r="O105" s="68" t="b">
        <v>0</v>
      </c>
      <c r="P105" s="66" t="b">
        <v>0</v>
      </c>
      <c r="Q105" s="67" t="b">
        <v>0</v>
      </c>
      <c r="R105" s="68" t="b">
        <v>0</v>
      </c>
      <c r="S105" s="8"/>
      <c r="T105" s="8"/>
      <c r="U105" s="8"/>
      <c r="V105" s="8"/>
      <c r="W105" s="8"/>
      <c r="X105" s="8"/>
    </row>
    <row r="106" spans="1:25" ht="14.5">
      <c r="A106" s="1" t="s">
        <v>5</v>
      </c>
      <c r="B106" s="1"/>
      <c r="C106" s="1" t="s">
        <v>741</v>
      </c>
      <c r="D106" s="1" t="s">
        <v>742</v>
      </c>
      <c r="E106" s="70">
        <v>34625124723</v>
      </c>
      <c r="F106" s="1" t="s">
        <v>335</v>
      </c>
      <c r="G106" s="73">
        <v>45790</v>
      </c>
      <c r="H106" s="4"/>
      <c r="I106" s="4" t="s">
        <v>459</v>
      </c>
      <c r="J106" s="66" t="b">
        <v>0</v>
      </c>
      <c r="K106" s="67" t="b">
        <v>0</v>
      </c>
      <c r="L106" s="68" t="b">
        <v>0</v>
      </c>
      <c r="M106" s="66" t="b">
        <v>0</v>
      </c>
      <c r="N106" s="67" t="b">
        <v>0</v>
      </c>
      <c r="O106" s="68" t="b">
        <v>0</v>
      </c>
      <c r="P106" s="66" t="b">
        <v>0</v>
      </c>
      <c r="Q106" s="67" t="b">
        <v>0</v>
      </c>
      <c r="R106" s="68" t="b">
        <v>0</v>
      </c>
      <c r="S106" s="8"/>
      <c r="Y106" s="4"/>
    </row>
    <row r="107" spans="1:25" ht="14.5">
      <c r="A107" s="1" t="s">
        <v>5</v>
      </c>
      <c r="B107" s="1"/>
      <c r="C107" s="1" t="s">
        <v>743</v>
      </c>
      <c r="D107" s="1" t="s">
        <v>744</v>
      </c>
      <c r="E107" s="70">
        <v>34646316285</v>
      </c>
      <c r="F107" s="1" t="s">
        <v>745</v>
      </c>
      <c r="G107" s="73">
        <v>45791</v>
      </c>
      <c r="H107" s="4"/>
      <c r="I107" s="4" t="s">
        <v>459</v>
      </c>
      <c r="J107" s="66" t="b">
        <v>0</v>
      </c>
      <c r="K107" s="67" t="b">
        <v>0</v>
      </c>
      <c r="L107" s="68" t="b">
        <v>0</v>
      </c>
      <c r="M107" s="66" t="b">
        <v>0</v>
      </c>
      <c r="N107" s="67" t="b">
        <v>0</v>
      </c>
      <c r="O107" s="68" t="b">
        <v>0</v>
      </c>
      <c r="P107" s="66" t="b">
        <v>0</v>
      </c>
      <c r="Q107" s="67" t="b">
        <v>0</v>
      </c>
      <c r="R107" s="68" t="b">
        <v>0</v>
      </c>
      <c r="S107" s="8"/>
    </row>
    <row r="108" spans="1:25" ht="14.5">
      <c r="A108" s="1" t="s">
        <v>5</v>
      </c>
      <c r="B108" s="1"/>
      <c r="C108" s="1" t="s">
        <v>746</v>
      </c>
      <c r="D108" s="1" t="s">
        <v>747</v>
      </c>
      <c r="E108" s="70">
        <v>56953601698</v>
      </c>
      <c r="F108" s="1" t="s">
        <v>496</v>
      </c>
      <c r="G108" s="73">
        <v>45794</v>
      </c>
      <c r="H108" s="4"/>
      <c r="I108" s="4" t="s">
        <v>459</v>
      </c>
      <c r="J108" s="66" t="b">
        <v>0</v>
      </c>
      <c r="K108" s="67" t="b">
        <v>0</v>
      </c>
      <c r="L108" s="68" t="b">
        <v>0</v>
      </c>
      <c r="M108" s="66" t="b">
        <v>0</v>
      </c>
      <c r="N108" s="67" t="b">
        <v>0</v>
      </c>
      <c r="O108" s="68" t="b">
        <v>0</v>
      </c>
      <c r="P108" s="66" t="b">
        <v>0</v>
      </c>
      <c r="Q108" s="67" t="b">
        <v>0</v>
      </c>
      <c r="R108" s="68" t="b">
        <v>0</v>
      </c>
      <c r="S108" s="8"/>
      <c r="T108" s="8"/>
      <c r="U108" s="8"/>
      <c r="V108" s="8"/>
      <c r="W108" s="8"/>
      <c r="X108" s="8"/>
    </row>
    <row r="109" spans="1:25" ht="14.5">
      <c r="A109" s="1" t="s">
        <v>5</v>
      </c>
      <c r="B109" s="1"/>
      <c r="C109" s="1" t="s">
        <v>748</v>
      </c>
      <c r="D109" s="1" t="s">
        <v>749</v>
      </c>
      <c r="E109" s="70">
        <v>34630863854</v>
      </c>
      <c r="F109" s="1" t="s">
        <v>30</v>
      </c>
      <c r="G109" s="73">
        <v>45796</v>
      </c>
      <c r="H109" s="4"/>
      <c r="I109" s="4" t="s">
        <v>459</v>
      </c>
      <c r="J109" s="66" t="b">
        <v>0</v>
      </c>
      <c r="K109" s="67" t="b">
        <v>0</v>
      </c>
      <c r="L109" s="68" t="b">
        <v>0</v>
      </c>
      <c r="M109" s="66" t="b">
        <v>0</v>
      </c>
      <c r="N109" s="67" t="b">
        <v>0</v>
      </c>
      <c r="O109" s="68" t="b">
        <v>0</v>
      </c>
      <c r="P109" s="66" t="b">
        <v>0</v>
      </c>
      <c r="Q109" s="67" t="b">
        <v>0</v>
      </c>
      <c r="R109" s="68" t="b">
        <v>0</v>
      </c>
      <c r="S109" s="8"/>
    </row>
    <row r="110" spans="1:25" ht="13">
      <c r="A110" s="1" t="s">
        <v>5</v>
      </c>
      <c r="B110" s="1"/>
      <c r="C110" s="1" t="s">
        <v>750</v>
      </c>
      <c r="D110" s="1" t="s">
        <v>751</v>
      </c>
      <c r="E110" s="75"/>
      <c r="F110" s="1" t="s">
        <v>752</v>
      </c>
      <c r="G110" s="76">
        <v>45798</v>
      </c>
      <c r="H110" s="4"/>
      <c r="I110" s="4" t="s">
        <v>448</v>
      </c>
      <c r="J110" s="66" t="b">
        <v>0</v>
      </c>
      <c r="K110" s="67" t="b">
        <v>0</v>
      </c>
      <c r="L110" s="68" t="b">
        <v>0</v>
      </c>
      <c r="M110" s="66" t="b">
        <v>0</v>
      </c>
      <c r="N110" s="67" t="b">
        <v>0</v>
      </c>
      <c r="O110" s="68" t="b">
        <v>0</v>
      </c>
      <c r="P110" s="66" t="b">
        <v>0</v>
      </c>
      <c r="Q110" s="67" t="b">
        <v>0</v>
      </c>
      <c r="R110" s="68" t="b">
        <v>0</v>
      </c>
      <c r="S110" s="8"/>
      <c r="T110" s="8"/>
      <c r="U110" s="8"/>
      <c r="V110" s="8"/>
      <c r="W110" s="8"/>
      <c r="X110" s="8">
        <v>45658</v>
      </c>
    </row>
    <row r="111" spans="1:25" ht="13">
      <c r="A111" s="1" t="s">
        <v>5</v>
      </c>
      <c r="B111" s="1"/>
      <c r="C111" s="1" t="s">
        <v>753</v>
      </c>
      <c r="D111" s="1" t="s">
        <v>754</v>
      </c>
      <c r="E111" s="1">
        <v>542916464811</v>
      </c>
      <c r="F111" s="1" t="s">
        <v>646</v>
      </c>
      <c r="G111" s="73">
        <v>45800</v>
      </c>
      <c r="H111" s="4"/>
      <c r="I111" s="4" t="s">
        <v>459</v>
      </c>
      <c r="J111" s="66" t="b">
        <v>0</v>
      </c>
      <c r="K111" s="67" t="b">
        <v>0</v>
      </c>
      <c r="L111" s="68" t="b">
        <v>0</v>
      </c>
      <c r="M111" s="66" t="b">
        <v>0</v>
      </c>
      <c r="N111" s="67" t="b">
        <v>0</v>
      </c>
      <c r="O111" s="68" t="b">
        <v>0</v>
      </c>
      <c r="P111" s="66" t="b">
        <v>0</v>
      </c>
      <c r="Q111" s="67" t="b">
        <v>0</v>
      </c>
      <c r="R111" s="68" t="b">
        <v>0</v>
      </c>
      <c r="S111" s="8"/>
      <c r="T111" s="8"/>
      <c r="U111" s="8"/>
      <c r="V111" s="8"/>
      <c r="W111" s="8"/>
      <c r="X111" s="8"/>
    </row>
    <row r="112" spans="1:25" ht="13">
      <c r="A112" s="1" t="s">
        <v>5</v>
      </c>
      <c r="B112" s="1"/>
      <c r="C112" s="1" t="s">
        <v>755</v>
      </c>
      <c r="D112" s="1" t="s">
        <v>756</v>
      </c>
      <c r="E112" s="1">
        <v>19095495201</v>
      </c>
      <c r="F112" s="1" t="s">
        <v>24</v>
      </c>
      <c r="G112" s="73">
        <v>45800</v>
      </c>
      <c r="H112" s="4"/>
      <c r="I112" s="4" t="s">
        <v>459</v>
      </c>
      <c r="J112" s="66" t="b">
        <v>0</v>
      </c>
      <c r="K112" s="67" t="b">
        <v>0</v>
      </c>
      <c r="L112" s="68" t="b">
        <v>0</v>
      </c>
      <c r="M112" s="66" t="b">
        <v>0</v>
      </c>
      <c r="N112" s="67" t="b">
        <v>0</v>
      </c>
      <c r="O112" s="68" t="b">
        <v>0</v>
      </c>
      <c r="P112" s="66" t="b">
        <v>0</v>
      </c>
      <c r="Q112" s="67" t="b">
        <v>0</v>
      </c>
      <c r="R112" s="68" t="b">
        <v>0</v>
      </c>
      <c r="S112" s="8"/>
      <c r="T112" s="8"/>
      <c r="U112" s="8"/>
      <c r="V112" s="8"/>
      <c r="W112" s="8"/>
      <c r="X112" s="8"/>
    </row>
    <row r="113" spans="1:26" ht="13">
      <c r="A113" s="1" t="s">
        <v>5</v>
      </c>
      <c r="B113" s="1"/>
      <c r="C113" s="1" t="s">
        <v>757</v>
      </c>
      <c r="D113" s="1" t="s">
        <v>758</v>
      </c>
      <c r="E113" s="1">
        <v>34630075103</v>
      </c>
      <c r="F113" s="1" t="s">
        <v>82</v>
      </c>
      <c r="G113" s="73">
        <v>45801</v>
      </c>
      <c r="H113" s="4"/>
      <c r="I113" s="4" t="s">
        <v>448</v>
      </c>
      <c r="J113" s="66" t="b">
        <v>0</v>
      </c>
      <c r="K113" s="67" t="b">
        <v>0</v>
      </c>
      <c r="L113" s="68" t="b">
        <v>0</v>
      </c>
      <c r="M113" s="66" t="b">
        <v>0</v>
      </c>
      <c r="N113" s="67" t="b">
        <v>0</v>
      </c>
      <c r="O113" s="68" t="b">
        <v>0</v>
      </c>
      <c r="P113" s="66" t="b">
        <v>0</v>
      </c>
      <c r="Q113" s="67" t="b">
        <v>0</v>
      </c>
      <c r="R113" s="68" t="b">
        <v>0</v>
      </c>
      <c r="S113" s="8"/>
      <c r="T113" s="8"/>
      <c r="U113" s="8"/>
      <c r="V113" s="8"/>
      <c r="W113" s="8"/>
      <c r="X113" s="8">
        <v>45658</v>
      </c>
      <c r="Z113" s="4" t="s">
        <v>759</v>
      </c>
    </row>
    <row r="114" spans="1:26" ht="13">
      <c r="A114" s="1" t="s">
        <v>5</v>
      </c>
      <c r="B114" s="1"/>
      <c r="C114" s="1" t="s">
        <v>760</v>
      </c>
      <c r="D114" s="1" t="s">
        <v>761</v>
      </c>
      <c r="E114" s="1">
        <v>34677059303</v>
      </c>
      <c r="F114" s="1" t="s">
        <v>762</v>
      </c>
      <c r="G114" s="73">
        <v>45803</v>
      </c>
      <c r="H114" s="4"/>
      <c r="I114" s="4" t="s">
        <v>459</v>
      </c>
      <c r="J114" s="66" t="b">
        <v>0</v>
      </c>
      <c r="K114" s="67" t="b">
        <v>0</v>
      </c>
      <c r="L114" s="68" t="b">
        <v>0</v>
      </c>
      <c r="M114" s="66" t="b">
        <v>0</v>
      </c>
      <c r="N114" s="67" t="b">
        <v>0</v>
      </c>
      <c r="O114" s="68" t="b">
        <v>0</v>
      </c>
      <c r="P114" s="66" t="b">
        <v>0</v>
      </c>
      <c r="Q114" s="67" t="b">
        <v>0</v>
      </c>
      <c r="R114" s="68" t="b">
        <v>0</v>
      </c>
      <c r="S114" s="8"/>
    </row>
    <row r="115" spans="1:26" ht="13">
      <c r="A115" s="1" t="s">
        <v>5</v>
      </c>
      <c r="B115" s="1"/>
      <c r="C115" s="1" t="s">
        <v>763</v>
      </c>
      <c r="D115" s="1" t="s">
        <v>764</v>
      </c>
      <c r="E115" s="1">
        <v>56975626201</v>
      </c>
      <c r="F115" s="1" t="s">
        <v>56</v>
      </c>
      <c r="G115" s="73">
        <v>45803</v>
      </c>
      <c r="H115" s="4"/>
      <c r="I115" s="4" t="s">
        <v>459</v>
      </c>
      <c r="J115" s="66" t="b">
        <v>0</v>
      </c>
      <c r="K115" s="67" t="b">
        <v>0</v>
      </c>
      <c r="L115" s="68" t="b">
        <v>0</v>
      </c>
      <c r="M115" s="66" t="b">
        <v>0</v>
      </c>
      <c r="N115" s="67" t="b">
        <v>0</v>
      </c>
      <c r="O115" s="68" t="b">
        <v>0</v>
      </c>
      <c r="P115" s="66" t="b">
        <v>0</v>
      </c>
      <c r="Q115" s="67" t="b">
        <v>0</v>
      </c>
      <c r="R115" s="68" t="b">
        <v>0</v>
      </c>
      <c r="S115" s="8"/>
      <c r="T115" s="8"/>
      <c r="U115" s="8"/>
      <c r="V115" s="8"/>
      <c r="W115" s="8"/>
      <c r="X115" s="8"/>
    </row>
    <row r="116" spans="1:26" ht="13">
      <c r="A116" s="1" t="s">
        <v>5</v>
      </c>
      <c r="B116" s="1"/>
      <c r="C116" s="1" t="s">
        <v>765</v>
      </c>
      <c r="D116" s="1" t="s">
        <v>766</v>
      </c>
      <c r="E116" s="1">
        <v>56992729711</v>
      </c>
      <c r="F116" s="1" t="s">
        <v>767</v>
      </c>
      <c r="G116" s="73">
        <v>45804</v>
      </c>
      <c r="H116" s="4"/>
      <c r="I116" s="4" t="s">
        <v>459</v>
      </c>
      <c r="J116" s="66" t="b">
        <v>0</v>
      </c>
      <c r="K116" s="67" t="b">
        <v>0</v>
      </c>
      <c r="L116" s="68" t="b">
        <v>0</v>
      </c>
      <c r="M116" s="66" t="b">
        <v>0</v>
      </c>
      <c r="N116" s="67" t="b">
        <v>0</v>
      </c>
      <c r="O116" s="68" t="b">
        <v>0</v>
      </c>
      <c r="P116" s="66" t="b">
        <v>0</v>
      </c>
      <c r="Q116" s="67" t="b">
        <v>0</v>
      </c>
      <c r="R116" s="68" t="b">
        <v>0</v>
      </c>
      <c r="S116" s="8"/>
      <c r="T116" s="8"/>
      <c r="U116" s="8"/>
      <c r="V116" s="8"/>
      <c r="W116" s="8"/>
      <c r="X116" s="8"/>
    </row>
    <row r="117" spans="1:26" ht="13">
      <c r="A117" s="1" t="s">
        <v>5</v>
      </c>
      <c r="B117" s="1"/>
      <c r="C117" s="1" t="s">
        <v>768</v>
      </c>
      <c r="D117" s="1" t="s">
        <v>769</v>
      </c>
      <c r="E117" s="1">
        <v>34623110086</v>
      </c>
      <c r="F117" s="1" t="s">
        <v>770</v>
      </c>
      <c r="G117" s="73">
        <v>45805</v>
      </c>
      <c r="H117" s="4"/>
      <c r="I117" s="4" t="s">
        <v>459</v>
      </c>
      <c r="J117" s="66" t="b">
        <v>0</v>
      </c>
      <c r="K117" s="67" t="b">
        <v>0</v>
      </c>
      <c r="L117" s="68" t="b">
        <v>0</v>
      </c>
      <c r="M117" s="66" t="b">
        <v>0</v>
      </c>
      <c r="N117" s="67" t="b">
        <v>0</v>
      </c>
      <c r="O117" s="68" t="b">
        <v>0</v>
      </c>
      <c r="P117" s="66" t="b">
        <v>0</v>
      </c>
      <c r="Q117" s="67" t="b">
        <v>0</v>
      </c>
      <c r="R117" s="68" t="b">
        <v>0</v>
      </c>
      <c r="S117" s="8"/>
    </row>
    <row r="118" spans="1:26" ht="13">
      <c r="A118" s="1" t="s">
        <v>5</v>
      </c>
      <c r="B118" s="1"/>
      <c r="C118" s="1" t="s">
        <v>771</v>
      </c>
      <c r="D118" s="1" t="s">
        <v>772</v>
      </c>
      <c r="E118" s="1">
        <v>34666263557</v>
      </c>
      <c r="F118" s="1" t="s">
        <v>338</v>
      </c>
      <c r="G118" s="73">
        <v>45806</v>
      </c>
      <c r="H118" s="4"/>
      <c r="I118" s="4" t="s">
        <v>459</v>
      </c>
      <c r="J118" s="66" t="b">
        <v>0</v>
      </c>
      <c r="K118" s="67" t="b">
        <v>0</v>
      </c>
      <c r="L118" s="68" t="b">
        <v>0</v>
      </c>
      <c r="M118" s="66" t="b">
        <v>0</v>
      </c>
      <c r="N118" s="67" t="b">
        <v>0</v>
      </c>
      <c r="O118" s="68" t="b">
        <v>0</v>
      </c>
      <c r="P118" s="66" t="b">
        <v>0</v>
      </c>
      <c r="Q118" s="67" t="b">
        <v>0</v>
      </c>
      <c r="R118" s="68" t="b">
        <v>0</v>
      </c>
      <c r="S118" s="8"/>
    </row>
    <row r="119" spans="1:26" ht="13">
      <c r="A119" s="1" t="s">
        <v>5</v>
      </c>
      <c r="B119" s="1"/>
      <c r="C119" s="1" t="s">
        <v>773</v>
      </c>
      <c r="D119" s="1" t="s">
        <v>774</v>
      </c>
      <c r="E119" s="1">
        <v>573104096692</v>
      </c>
      <c r="F119" s="1" t="s">
        <v>775</v>
      </c>
      <c r="G119" s="73">
        <v>45805</v>
      </c>
      <c r="H119" s="4"/>
      <c r="I119" s="4" t="s">
        <v>459</v>
      </c>
      <c r="J119" s="66" t="b">
        <v>0</v>
      </c>
      <c r="K119" s="67" t="b">
        <v>0</v>
      </c>
      <c r="L119" s="68" t="b">
        <v>0</v>
      </c>
      <c r="M119" s="66" t="b">
        <v>0</v>
      </c>
      <c r="N119" s="67" t="b">
        <v>0</v>
      </c>
      <c r="O119" s="68" t="b">
        <v>0</v>
      </c>
      <c r="P119" s="66" t="b">
        <v>0</v>
      </c>
      <c r="Q119" s="67" t="b">
        <v>0</v>
      </c>
      <c r="R119" s="68" t="b">
        <v>0</v>
      </c>
      <c r="S119" s="8"/>
      <c r="T119" s="8"/>
      <c r="U119" s="8"/>
      <c r="V119" s="8"/>
      <c r="W119" s="8"/>
      <c r="X119" s="8"/>
    </row>
    <row r="120" spans="1:26" ht="13">
      <c r="A120" s="1" t="s">
        <v>5</v>
      </c>
      <c r="B120" s="1"/>
      <c r="C120" s="1" t="s">
        <v>776</v>
      </c>
      <c r="D120" s="1" t="s">
        <v>777</v>
      </c>
      <c r="E120" s="1">
        <v>34672319318</v>
      </c>
      <c r="F120" s="1" t="s">
        <v>56</v>
      </c>
      <c r="G120" s="73">
        <v>45806</v>
      </c>
      <c r="H120" s="4"/>
      <c r="I120" s="4" t="s">
        <v>459</v>
      </c>
      <c r="J120" s="66" t="b">
        <v>0</v>
      </c>
      <c r="K120" s="67" t="b">
        <v>0</v>
      </c>
      <c r="L120" s="68" t="b">
        <v>0</v>
      </c>
      <c r="M120" s="66" t="b">
        <v>0</v>
      </c>
      <c r="N120" s="67" t="b">
        <v>0</v>
      </c>
      <c r="O120" s="68" t="b">
        <v>0</v>
      </c>
      <c r="P120" s="66" t="b">
        <v>0</v>
      </c>
      <c r="Q120" s="67" t="b">
        <v>0</v>
      </c>
      <c r="R120" s="68" t="b">
        <v>0</v>
      </c>
      <c r="S120" s="8"/>
    </row>
    <row r="121" spans="1:26" ht="13">
      <c r="A121" s="1" t="s">
        <v>5</v>
      </c>
      <c r="B121" s="1"/>
      <c r="C121" s="1" t="s">
        <v>778</v>
      </c>
      <c r="D121" s="1" t="s">
        <v>779</v>
      </c>
      <c r="E121" s="1">
        <v>541150484292</v>
      </c>
      <c r="F121" s="1" t="s">
        <v>343</v>
      </c>
      <c r="G121" s="73">
        <v>45806</v>
      </c>
      <c r="H121" s="4"/>
      <c r="I121" s="4" t="s">
        <v>459</v>
      </c>
      <c r="J121" s="66" t="b">
        <v>0</v>
      </c>
      <c r="K121" s="67" t="b">
        <v>0</v>
      </c>
      <c r="L121" s="68" t="b">
        <v>0</v>
      </c>
      <c r="M121" s="66" t="b">
        <v>0</v>
      </c>
      <c r="N121" s="67" t="b">
        <v>0</v>
      </c>
      <c r="O121" s="68" t="b">
        <v>0</v>
      </c>
      <c r="P121" s="66" t="b">
        <v>0</v>
      </c>
      <c r="Q121" s="67" t="b">
        <v>0</v>
      </c>
      <c r="R121" s="68" t="b">
        <v>0</v>
      </c>
      <c r="S121" s="8"/>
      <c r="T121" s="8"/>
      <c r="U121" s="8"/>
      <c r="V121" s="8"/>
      <c r="W121" s="8"/>
      <c r="X121" s="8"/>
    </row>
    <row r="122" spans="1:26" ht="13">
      <c r="A122" s="1" t="s">
        <v>5</v>
      </c>
      <c r="B122" s="1"/>
      <c r="C122" s="1" t="s">
        <v>780</v>
      </c>
      <c r="D122" s="1" t="s">
        <v>781</v>
      </c>
      <c r="E122" s="1">
        <v>50495080705</v>
      </c>
      <c r="F122" s="1" t="s">
        <v>343</v>
      </c>
      <c r="G122" s="73">
        <v>45807</v>
      </c>
      <c r="H122" s="4"/>
      <c r="I122" s="4" t="s">
        <v>459</v>
      </c>
      <c r="J122" s="66" t="b">
        <v>0</v>
      </c>
      <c r="K122" s="67" t="b">
        <v>0</v>
      </c>
      <c r="L122" s="68" t="b">
        <v>0</v>
      </c>
      <c r="M122" s="66" t="b">
        <v>0</v>
      </c>
      <c r="N122" s="67" t="b">
        <v>0</v>
      </c>
      <c r="O122" s="68" t="b">
        <v>0</v>
      </c>
      <c r="P122" s="66" t="b">
        <v>0</v>
      </c>
      <c r="Q122" s="67" t="b">
        <v>0</v>
      </c>
      <c r="R122" s="68" t="b">
        <v>0</v>
      </c>
      <c r="S122" s="8"/>
      <c r="T122" s="8"/>
      <c r="U122" s="8"/>
      <c r="V122" s="8"/>
      <c r="W122" s="8"/>
      <c r="X122" s="8"/>
    </row>
    <row r="123" spans="1:26" ht="13">
      <c r="A123" s="1" t="s">
        <v>5</v>
      </c>
      <c r="B123" s="1"/>
      <c r="C123" s="1" t="s">
        <v>782</v>
      </c>
      <c r="D123" s="1" t="s">
        <v>783</v>
      </c>
      <c r="E123" s="1">
        <v>59172505771</v>
      </c>
      <c r="F123" s="1" t="s">
        <v>37</v>
      </c>
      <c r="G123" s="73">
        <v>45808</v>
      </c>
      <c r="H123" s="4"/>
      <c r="I123" s="4" t="s">
        <v>459</v>
      </c>
      <c r="J123" s="66" t="b">
        <v>0</v>
      </c>
      <c r="K123" s="67" t="b">
        <v>0</v>
      </c>
      <c r="L123" s="68" t="b">
        <v>0</v>
      </c>
      <c r="M123" s="66" t="b">
        <v>0</v>
      </c>
      <c r="N123" s="67" t="b">
        <v>0</v>
      </c>
      <c r="O123" s="68" t="b">
        <v>0</v>
      </c>
      <c r="P123" s="66" t="b">
        <v>0</v>
      </c>
      <c r="Q123" s="67" t="b">
        <v>0</v>
      </c>
      <c r="R123" s="68" t="b">
        <v>0</v>
      </c>
      <c r="S123" s="8"/>
      <c r="T123" s="8"/>
      <c r="U123" s="8"/>
      <c r="V123" s="8"/>
      <c r="W123" s="8"/>
      <c r="X123" s="8"/>
    </row>
    <row r="124" spans="1:26" ht="13">
      <c r="A124" s="1" t="s">
        <v>5</v>
      </c>
      <c r="B124" s="1"/>
      <c r="C124" s="1" t="s">
        <v>784</v>
      </c>
      <c r="D124" s="1" t="s">
        <v>785</v>
      </c>
      <c r="E124" s="1">
        <v>34722519255</v>
      </c>
      <c r="F124" s="1" t="s">
        <v>496</v>
      </c>
      <c r="G124" s="73">
        <v>45809</v>
      </c>
      <c r="H124" s="4"/>
      <c r="I124" s="4" t="s">
        <v>459</v>
      </c>
      <c r="J124" s="66" t="b">
        <v>0</v>
      </c>
      <c r="K124" s="67" t="b">
        <v>0</v>
      </c>
      <c r="L124" s="68" t="b">
        <v>0</v>
      </c>
      <c r="M124" s="66" t="b">
        <v>0</v>
      </c>
      <c r="N124" s="67" t="b">
        <v>0</v>
      </c>
      <c r="O124" s="68" t="b">
        <v>0</v>
      </c>
      <c r="P124" s="66" t="b">
        <v>0</v>
      </c>
      <c r="Q124" s="67" t="b">
        <v>0</v>
      </c>
      <c r="R124" s="68" t="b">
        <v>0</v>
      </c>
      <c r="S124" s="8"/>
    </row>
    <row r="125" spans="1:26" ht="13">
      <c r="A125" s="1" t="s">
        <v>5</v>
      </c>
      <c r="B125" s="1"/>
      <c r="C125" s="1" t="s">
        <v>786</v>
      </c>
      <c r="D125" s="1" t="s">
        <v>787</v>
      </c>
      <c r="E125" s="1">
        <v>525542525703</v>
      </c>
      <c r="F125" s="1" t="s">
        <v>335</v>
      </c>
      <c r="G125" s="73">
        <v>45810</v>
      </c>
      <c r="H125" s="4"/>
      <c r="I125" s="4" t="s">
        <v>459</v>
      </c>
      <c r="J125" s="66" t="b">
        <v>0</v>
      </c>
      <c r="K125" s="67" t="b">
        <v>0</v>
      </c>
      <c r="L125" s="68" t="b">
        <v>0</v>
      </c>
      <c r="M125" s="66" t="b">
        <v>0</v>
      </c>
      <c r="N125" s="67" t="b">
        <v>0</v>
      </c>
      <c r="O125" s="68" t="b">
        <v>0</v>
      </c>
      <c r="P125" s="66" t="b">
        <v>0</v>
      </c>
      <c r="Q125" s="67" t="b">
        <v>0</v>
      </c>
      <c r="R125" s="68" t="b">
        <v>0</v>
      </c>
      <c r="S125" s="8"/>
      <c r="T125" s="8"/>
      <c r="U125" s="8"/>
      <c r="V125" s="8"/>
      <c r="W125" s="8"/>
      <c r="X125" s="8"/>
    </row>
    <row r="126" spans="1:26" ht="13">
      <c r="A126" s="1" t="s">
        <v>5</v>
      </c>
      <c r="B126" s="1"/>
      <c r="C126" s="1" t="s">
        <v>788</v>
      </c>
      <c r="D126" s="1" t="s">
        <v>789</v>
      </c>
      <c r="E126" s="1">
        <v>525514797454</v>
      </c>
      <c r="F126" s="1" t="s">
        <v>740</v>
      </c>
      <c r="G126" s="73">
        <v>45811</v>
      </c>
      <c r="H126" s="4"/>
      <c r="I126" s="4" t="s">
        <v>459</v>
      </c>
      <c r="J126" s="66" t="b">
        <v>0</v>
      </c>
      <c r="K126" s="67" t="b">
        <v>0</v>
      </c>
      <c r="L126" s="68" t="b">
        <v>0</v>
      </c>
      <c r="M126" s="66" t="b">
        <v>0</v>
      </c>
      <c r="N126" s="67" t="b">
        <v>0</v>
      </c>
      <c r="O126" s="68" t="b">
        <v>0</v>
      </c>
      <c r="P126" s="66" t="b">
        <v>0</v>
      </c>
      <c r="Q126" s="67" t="b">
        <v>0</v>
      </c>
      <c r="R126" s="68" t="b">
        <v>0</v>
      </c>
      <c r="S126" s="8"/>
      <c r="T126" s="8"/>
      <c r="U126" s="8"/>
      <c r="V126" s="8"/>
      <c r="W126" s="8"/>
      <c r="X126" s="8"/>
    </row>
    <row r="127" spans="1:26" ht="13">
      <c r="A127" s="1" t="s">
        <v>5</v>
      </c>
      <c r="B127" s="1"/>
      <c r="C127" s="1" t="s">
        <v>790</v>
      </c>
      <c r="D127" s="1" t="s">
        <v>791</v>
      </c>
      <c r="E127" s="1">
        <v>573176981618</v>
      </c>
      <c r="F127" s="1" t="s">
        <v>792</v>
      </c>
      <c r="G127" s="73">
        <v>45813</v>
      </c>
      <c r="H127" s="4"/>
      <c r="I127" s="4" t="s">
        <v>459</v>
      </c>
      <c r="J127" s="66" t="b">
        <v>0</v>
      </c>
      <c r="K127" s="67" t="b">
        <v>0</v>
      </c>
      <c r="L127" s="68" t="b">
        <v>0</v>
      </c>
      <c r="M127" s="66" t="b">
        <v>0</v>
      </c>
      <c r="N127" s="67" t="b">
        <v>0</v>
      </c>
      <c r="O127" s="68" t="b">
        <v>0</v>
      </c>
      <c r="P127" s="66" t="b">
        <v>0</v>
      </c>
      <c r="Q127" s="67" t="b">
        <v>0</v>
      </c>
      <c r="R127" s="68" t="b">
        <v>0</v>
      </c>
      <c r="S127" s="8"/>
      <c r="T127" s="8"/>
      <c r="U127" s="8"/>
      <c r="V127" s="8"/>
      <c r="W127" s="8"/>
      <c r="X127" s="8"/>
    </row>
    <row r="128" spans="1:26" ht="13">
      <c r="A128" s="1" t="s">
        <v>5</v>
      </c>
      <c r="B128" s="1"/>
      <c r="C128" s="1" t="s">
        <v>793</v>
      </c>
      <c r="D128" s="1" t="s">
        <v>794</v>
      </c>
      <c r="E128" s="1">
        <v>527221425543</v>
      </c>
      <c r="F128" s="1" t="s">
        <v>102</v>
      </c>
      <c r="G128" s="73">
        <v>45813</v>
      </c>
      <c r="H128" s="4"/>
      <c r="I128" s="4" t="s">
        <v>459</v>
      </c>
      <c r="J128" s="66" t="b">
        <v>0</v>
      </c>
      <c r="K128" s="67" t="b">
        <v>0</v>
      </c>
      <c r="L128" s="68" t="b">
        <v>0</v>
      </c>
      <c r="M128" s="66" t="b">
        <v>0</v>
      </c>
      <c r="N128" s="67" t="b">
        <v>0</v>
      </c>
      <c r="O128" s="68" t="b">
        <v>0</v>
      </c>
      <c r="P128" s="66" t="b">
        <v>0</v>
      </c>
      <c r="Q128" s="67" t="b">
        <v>0</v>
      </c>
      <c r="R128" s="68" t="b">
        <v>0</v>
      </c>
      <c r="S128" s="8"/>
      <c r="T128" s="8"/>
      <c r="U128" s="8"/>
      <c r="V128" s="8"/>
      <c r="W128" s="8"/>
      <c r="X128" s="8"/>
    </row>
    <row r="129" spans="1:24" ht="13">
      <c r="A129" s="1" t="s">
        <v>5</v>
      </c>
      <c r="B129" s="1"/>
      <c r="C129" s="1" t="s">
        <v>795</v>
      </c>
      <c r="D129" s="1" t="s">
        <v>796</v>
      </c>
      <c r="E129" s="1">
        <v>525515109837</v>
      </c>
      <c r="F129" s="1" t="s">
        <v>797</v>
      </c>
      <c r="G129" s="73">
        <v>45814</v>
      </c>
      <c r="H129" s="4"/>
      <c r="I129" s="4" t="s">
        <v>448</v>
      </c>
      <c r="J129" s="66" t="b">
        <v>0</v>
      </c>
      <c r="K129" s="67" t="b">
        <v>0</v>
      </c>
      <c r="L129" s="68" t="b">
        <v>0</v>
      </c>
      <c r="M129" s="66" t="b">
        <v>0</v>
      </c>
      <c r="N129" s="67" t="b">
        <v>0</v>
      </c>
      <c r="O129" s="68" t="b">
        <v>0</v>
      </c>
      <c r="P129" s="66" t="b">
        <v>0</v>
      </c>
      <c r="Q129" s="67" t="b">
        <v>0</v>
      </c>
      <c r="R129" s="68" t="b">
        <v>0</v>
      </c>
      <c r="S129" s="8"/>
      <c r="T129" s="8"/>
      <c r="U129" s="8"/>
      <c r="V129" s="8"/>
      <c r="W129" s="8"/>
      <c r="X129" s="8"/>
    </row>
    <row r="130" spans="1:24" ht="13">
      <c r="A130" s="1" t="s">
        <v>5</v>
      </c>
      <c r="B130" s="1"/>
      <c r="C130" s="1" t="s">
        <v>798</v>
      </c>
      <c r="D130" s="1" t="s">
        <v>799</v>
      </c>
      <c r="E130" s="75">
        <v>525554759937</v>
      </c>
      <c r="F130" s="1" t="s">
        <v>797</v>
      </c>
      <c r="G130" s="73"/>
      <c r="H130" s="4"/>
      <c r="I130" s="4" t="s">
        <v>448</v>
      </c>
      <c r="J130" s="66" t="b">
        <v>0</v>
      </c>
      <c r="K130" s="67" t="b">
        <v>0</v>
      </c>
      <c r="L130" s="68" t="b">
        <v>0</v>
      </c>
      <c r="M130" s="66" t="b">
        <v>0</v>
      </c>
      <c r="N130" s="67" t="b">
        <v>0</v>
      </c>
      <c r="O130" s="68" t="b">
        <v>0</v>
      </c>
      <c r="P130" s="66" t="b">
        <v>0</v>
      </c>
      <c r="Q130" s="67" t="b">
        <v>0</v>
      </c>
      <c r="R130" s="68" t="b">
        <v>0</v>
      </c>
      <c r="S130" s="8"/>
      <c r="T130" s="8"/>
      <c r="U130" s="8"/>
      <c r="V130" s="8"/>
      <c r="W130" s="8"/>
      <c r="X130" s="8"/>
    </row>
    <row r="131" spans="1:24" ht="13">
      <c r="A131" s="1" t="s">
        <v>5</v>
      </c>
      <c r="B131" s="1"/>
      <c r="C131" s="1" t="s">
        <v>800</v>
      </c>
      <c r="D131" s="1" t="s">
        <v>801</v>
      </c>
      <c r="E131" s="75">
        <v>525562544211</v>
      </c>
      <c r="F131" s="1" t="s">
        <v>797</v>
      </c>
      <c r="G131" s="73"/>
      <c r="H131" s="4"/>
      <c r="I131" s="4" t="s">
        <v>448</v>
      </c>
      <c r="J131" s="66" t="b">
        <v>0</v>
      </c>
      <c r="K131" s="67" t="b">
        <v>0</v>
      </c>
      <c r="L131" s="68" t="b">
        <v>0</v>
      </c>
      <c r="M131" s="66" t="b">
        <v>0</v>
      </c>
      <c r="N131" s="67" t="b">
        <v>0</v>
      </c>
      <c r="O131" s="68" t="b">
        <v>0</v>
      </c>
      <c r="P131" s="66" t="b">
        <v>0</v>
      </c>
      <c r="Q131" s="67" t="b">
        <v>0</v>
      </c>
      <c r="R131" s="68" t="b">
        <v>0</v>
      </c>
      <c r="S131" s="8"/>
      <c r="T131" s="8"/>
      <c r="U131" s="8"/>
      <c r="V131" s="8"/>
      <c r="W131" s="8"/>
      <c r="X131" s="8"/>
    </row>
    <row r="132" spans="1:24" ht="13">
      <c r="A132" s="1" t="s">
        <v>5</v>
      </c>
      <c r="B132" s="1"/>
      <c r="C132" s="1" t="s">
        <v>802</v>
      </c>
      <c r="D132" s="1" t="s">
        <v>803</v>
      </c>
      <c r="E132" s="75">
        <v>525545065990</v>
      </c>
      <c r="F132" s="1" t="s">
        <v>797</v>
      </c>
      <c r="G132" s="73"/>
      <c r="H132" s="4"/>
      <c r="I132" s="4" t="s">
        <v>448</v>
      </c>
      <c r="J132" s="66" t="b">
        <v>0</v>
      </c>
      <c r="K132" s="67" t="b">
        <v>0</v>
      </c>
      <c r="L132" s="68" t="b">
        <v>0</v>
      </c>
      <c r="M132" s="66" t="b">
        <v>0</v>
      </c>
      <c r="N132" s="67" t="b">
        <v>0</v>
      </c>
      <c r="O132" s="68" t="b">
        <v>0</v>
      </c>
      <c r="P132" s="66" t="b">
        <v>0</v>
      </c>
      <c r="Q132" s="67" t="b">
        <v>0</v>
      </c>
      <c r="R132" s="68" t="b">
        <v>0</v>
      </c>
      <c r="S132" s="8"/>
      <c r="T132" s="8"/>
      <c r="U132" s="8"/>
      <c r="V132" s="8"/>
      <c r="W132" s="8"/>
      <c r="X132" s="8"/>
    </row>
    <row r="133" spans="1:24" ht="13">
      <c r="A133" s="1" t="s">
        <v>5</v>
      </c>
      <c r="B133" s="1"/>
      <c r="C133" s="1" t="s">
        <v>804</v>
      </c>
      <c r="D133" s="1" t="s">
        <v>805</v>
      </c>
      <c r="E133" s="1">
        <v>34688614642</v>
      </c>
      <c r="F133" s="1" t="s">
        <v>56</v>
      </c>
      <c r="G133" s="73">
        <v>45818</v>
      </c>
      <c r="H133" s="4"/>
      <c r="I133" s="4" t="s">
        <v>448</v>
      </c>
      <c r="J133" s="66" t="b">
        <v>0</v>
      </c>
      <c r="K133" s="67" t="b">
        <v>0</v>
      </c>
      <c r="L133" s="68" t="b">
        <v>0</v>
      </c>
      <c r="M133" s="66" t="b">
        <v>0</v>
      </c>
      <c r="N133" s="67" t="b">
        <v>0</v>
      </c>
      <c r="O133" s="68" t="b">
        <v>0</v>
      </c>
      <c r="P133" s="66" t="b">
        <v>0</v>
      </c>
      <c r="Q133" s="67" t="b">
        <v>0</v>
      </c>
      <c r="R133" s="68" t="b">
        <v>0</v>
      </c>
      <c r="S133" s="8"/>
      <c r="T133" s="8"/>
      <c r="U133" s="8"/>
      <c r="V133" s="8"/>
      <c r="W133" s="8"/>
      <c r="X133" s="8">
        <v>45658</v>
      </c>
    </row>
    <row r="134" spans="1:24" ht="13">
      <c r="A134" s="1" t="s">
        <v>5</v>
      </c>
      <c r="B134" s="1"/>
      <c r="C134" s="1" t="s">
        <v>806</v>
      </c>
      <c r="D134" s="1" t="s">
        <v>807</v>
      </c>
      <c r="E134" s="1">
        <v>50687247546</v>
      </c>
      <c r="F134" s="1" t="s">
        <v>335</v>
      </c>
      <c r="G134" s="73">
        <v>45819</v>
      </c>
      <c r="H134" s="4"/>
      <c r="I134" s="4" t="s">
        <v>459</v>
      </c>
      <c r="J134" s="66" t="b">
        <v>0</v>
      </c>
      <c r="K134" s="67" t="b">
        <v>0</v>
      </c>
      <c r="L134" s="68" t="b">
        <v>0</v>
      </c>
      <c r="M134" s="66" t="b">
        <v>0</v>
      </c>
      <c r="N134" s="67" t="b">
        <v>0</v>
      </c>
      <c r="O134" s="68" t="b">
        <v>0</v>
      </c>
      <c r="P134" s="66" t="b">
        <v>0</v>
      </c>
      <c r="Q134" s="67" t="b">
        <v>0</v>
      </c>
      <c r="R134" s="68" t="b">
        <v>0</v>
      </c>
      <c r="S134" s="8"/>
      <c r="T134" s="8"/>
      <c r="U134" s="8"/>
      <c r="V134" s="8"/>
      <c r="W134" s="8"/>
      <c r="X134" s="8"/>
    </row>
    <row r="135" spans="1:24" ht="13">
      <c r="A135" s="1" t="s">
        <v>5</v>
      </c>
      <c r="B135" s="1"/>
      <c r="C135" s="1" t="s">
        <v>808</v>
      </c>
      <c r="D135" s="1" t="s">
        <v>809</v>
      </c>
      <c r="E135" s="1">
        <v>393273010022</v>
      </c>
      <c r="F135" s="1" t="s">
        <v>24</v>
      </c>
      <c r="G135" s="73">
        <v>45820</v>
      </c>
      <c r="H135" s="4"/>
      <c r="I135" s="4" t="s">
        <v>448</v>
      </c>
      <c r="J135" s="66" t="b">
        <v>0</v>
      </c>
      <c r="K135" s="67" t="b">
        <v>0</v>
      </c>
      <c r="L135" s="68" t="b">
        <v>0</v>
      </c>
      <c r="M135" s="66" t="b">
        <v>0</v>
      </c>
      <c r="N135" s="67" t="b">
        <v>0</v>
      </c>
      <c r="O135" s="68" t="b">
        <v>0</v>
      </c>
      <c r="P135" s="66" t="b">
        <v>0</v>
      </c>
      <c r="Q135" s="67" t="b">
        <v>0</v>
      </c>
      <c r="R135" s="68" t="b">
        <v>0</v>
      </c>
      <c r="S135" s="8"/>
      <c r="T135" s="8"/>
      <c r="U135" s="8"/>
      <c r="V135" s="8"/>
      <c r="W135" s="8"/>
      <c r="X135" s="8"/>
    </row>
    <row r="136" spans="1:24" ht="13">
      <c r="A136" s="1" t="s">
        <v>5</v>
      </c>
      <c r="B136" s="1" t="s">
        <v>119</v>
      </c>
      <c r="C136" s="1" t="s">
        <v>810</v>
      </c>
      <c r="D136" s="1" t="s">
        <v>811</v>
      </c>
      <c r="E136" s="1">
        <v>34692892167</v>
      </c>
      <c r="F136" s="1" t="s">
        <v>27</v>
      </c>
      <c r="G136" s="73">
        <v>45820</v>
      </c>
      <c r="H136" s="4"/>
      <c r="I136" s="4" t="s">
        <v>459</v>
      </c>
      <c r="J136" s="66" t="b">
        <v>0</v>
      </c>
      <c r="K136" s="67" t="b">
        <v>0</v>
      </c>
      <c r="L136" s="68" t="b">
        <v>0</v>
      </c>
      <c r="M136" s="66" t="b">
        <v>0</v>
      </c>
      <c r="N136" s="67" t="b">
        <v>0</v>
      </c>
      <c r="O136" s="68" t="b">
        <v>0</v>
      </c>
      <c r="P136" s="66" t="b">
        <v>0</v>
      </c>
      <c r="Q136" s="67" t="b">
        <v>0</v>
      </c>
      <c r="R136" s="68" t="b">
        <v>0</v>
      </c>
      <c r="S136" s="8"/>
      <c r="T136" s="8"/>
      <c r="U136" s="8"/>
      <c r="V136" s="8"/>
      <c r="W136" s="8"/>
      <c r="X136" s="8"/>
    </row>
    <row r="137" spans="1:24" ht="13">
      <c r="A137" s="1" t="s">
        <v>5</v>
      </c>
      <c r="B137" s="1"/>
      <c r="C137" s="1" t="s">
        <v>812</v>
      </c>
      <c r="D137" s="1" t="s">
        <v>813</v>
      </c>
      <c r="E137" s="1">
        <v>34622844322</v>
      </c>
      <c r="F137" s="1" t="s">
        <v>211</v>
      </c>
      <c r="G137" s="73">
        <v>45820</v>
      </c>
      <c r="H137" s="4"/>
      <c r="I137" s="4" t="s">
        <v>459</v>
      </c>
      <c r="J137" s="66" t="b">
        <v>0</v>
      </c>
      <c r="K137" s="67" t="b">
        <v>0</v>
      </c>
      <c r="L137" s="68" t="b">
        <v>0</v>
      </c>
      <c r="M137" s="66" t="b">
        <v>0</v>
      </c>
      <c r="N137" s="67" t="b">
        <v>0</v>
      </c>
      <c r="O137" s="68" t="b">
        <v>0</v>
      </c>
      <c r="P137" s="66" t="b">
        <v>0</v>
      </c>
      <c r="Q137" s="67" t="b">
        <v>0</v>
      </c>
      <c r="R137" s="68" t="b">
        <v>0</v>
      </c>
      <c r="S137" s="8"/>
      <c r="T137" s="8"/>
      <c r="U137" s="8"/>
      <c r="V137" s="8"/>
      <c r="W137" s="8"/>
      <c r="X137" s="8"/>
    </row>
    <row r="138" spans="1:24" ht="13">
      <c r="A138" s="1" t="s">
        <v>5</v>
      </c>
      <c r="B138" s="1"/>
      <c r="C138" s="1" t="s">
        <v>814</v>
      </c>
      <c r="D138" s="1" t="s">
        <v>815</v>
      </c>
      <c r="E138" s="1">
        <v>593993675246</v>
      </c>
      <c r="F138" s="1" t="s">
        <v>140</v>
      </c>
      <c r="G138" s="73">
        <v>45822</v>
      </c>
      <c r="H138" s="4"/>
      <c r="I138" s="4" t="s">
        <v>459</v>
      </c>
      <c r="J138" s="66" t="b">
        <v>0</v>
      </c>
      <c r="K138" s="67" t="b">
        <v>0</v>
      </c>
      <c r="L138" s="68" t="b">
        <v>0</v>
      </c>
      <c r="M138" s="66" t="b">
        <v>0</v>
      </c>
      <c r="N138" s="67" t="b">
        <v>0</v>
      </c>
      <c r="O138" s="68" t="b">
        <v>0</v>
      </c>
      <c r="P138" s="66" t="b">
        <v>0</v>
      </c>
      <c r="Q138" s="67" t="b">
        <v>0</v>
      </c>
      <c r="R138" s="68" t="b">
        <v>0</v>
      </c>
      <c r="S138" s="8"/>
      <c r="T138" s="8"/>
      <c r="U138" s="8"/>
      <c r="V138" s="8"/>
      <c r="W138" s="8"/>
      <c r="X138" s="8"/>
    </row>
    <row r="139" spans="1:24" ht="13">
      <c r="A139" s="1" t="s">
        <v>5</v>
      </c>
      <c r="B139" s="1"/>
      <c r="C139" s="1" t="s">
        <v>816</v>
      </c>
      <c r="D139" s="1" t="s">
        <v>817</v>
      </c>
      <c r="E139" s="4">
        <v>541159576341</v>
      </c>
      <c r="F139" s="1" t="s">
        <v>102</v>
      </c>
      <c r="G139" s="73">
        <v>45823</v>
      </c>
      <c r="H139" s="4"/>
      <c r="I139" s="4" t="s">
        <v>448</v>
      </c>
      <c r="J139" s="66" t="b">
        <v>0</v>
      </c>
      <c r="K139" s="67" t="b">
        <v>0</v>
      </c>
      <c r="L139" s="68" t="b">
        <v>0</v>
      </c>
      <c r="M139" s="66" t="b">
        <v>0</v>
      </c>
      <c r="N139" s="67" t="b">
        <v>0</v>
      </c>
      <c r="O139" s="68" t="b">
        <v>0</v>
      </c>
      <c r="P139" s="66" t="b">
        <v>0</v>
      </c>
      <c r="Q139" s="67" t="b">
        <v>0</v>
      </c>
      <c r="R139" s="68" t="b">
        <v>0</v>
      </c>
      <c r="S139" s="8"/>
      <c r="T139" s="8"/>
      <c r="U139" s="8"/>
      <c r="V139" s="8"/>
      <c r="W139" s="8"/>
      <c r="X139" s="8"/>
    </row>
    <row r="140" spans="1:24" ht="13">
      <c r="A140" s="1" t="s">
        <v>5</v>
      </c>
      <c r="B140" s="1"/>
      <c r="C140" s="1" t="s">
        <v>818</v>
      </c>
      <c r="D140" s="1" t="s">
        <v>819</v>
      </c>
      <c r="E140" s="1">
        <v>528342151186</v>
      </c>
      <c r="F140" s="1" t="s">
        <v>740</v>
      </c>
      <c r="G140" s="73">
        <v>45824</v>
      </c>
      <c r="H140" s="4"/>
      <c r="I140" s="4" t="s">
        <v>459</v>
      </c>
      <c r="J140" s="66" t="b">
        <v>0</v>
      </c>
      <c r="K140" s="67" t="b">
        <v>0</v>
      </c>
      <c r="L140" s="68" t="b">
        <v>0</v>
      </c>
      <c r="M140" s="66" t="b">
        <v>0</v>
      </c>
      <c r="N140" s="67" t="b">
        <v>0</v>
      </c>
      <c r="O140" s="68" t="b">
        <v>0</v>
      </c>
      <c r="P140" s="66" t="b">
        <v>0</v>
      </c>
      <c r="Q140" s="67" t="b">
        <v>0</v>
      </c>
      <c r="R140" s="68" t="b">
        <v>0</v>
      </c>
      <c r="S140" s="8"/>
      <c r="T140" s="8"/>
      <c r="U140" s="8"/>
      <c r="V140" s="8"/>
      <c r="W140" s="8"/>
      <c r="X140" s="8"/>
    </row>
    <row r="141" spans="1:24" ht="13">
      <c r="A141" s="1" t="s">
        <v>5</v>
      </c>
      <c r="B141" s="1"/>
      <c r="C141" s="1" t="s">
        <v>820</v>
      </c>
      <c r="D141" s="1" t="s">
        <v>821</v>
      </c>
      <c r="E141" s="1"/>
      <c r="F141" s="1" t="s">
        <v>822</v>
      </c>
      <c r="G141" s="77">
        <v>45823</v>
      </c>
      <c r="H141" s="4"/>
      <c r="I141" s="4" t="s">
        <v>448</v>
      </c>
      <c r="J141" s="66" t="b">
        <v>0</v>
      </c>
      <c r="K141" s="67" t="b">
        <v>0</v>
      </c>
      <c r="L141" s="68" t="b">
        <v>0</v>
      </c>
      <c r="M141" s="66" t="b">
        <v>0</v>
      </c>
      <c r="N141" s="67" t="b">
        <v>0</v>
      </c>
      <c r="O141" s="68" t="b">
        <v>0</v>
      </c>
      <c r="P141" s="66" t="b">
        <v>0</v>
      </c>
      <c r="Q141" s="67" t="b">
        <v>0</v>
      </c>
      <c r="R141" s="68" t="b">
        <v>0</v>
      </c>
      <c r="S141" s="8"/>
      <c r="T141" s="8"/>
      <c r="U141" s="8"/>
      <c r="V141" s="8"/>
      <c r="W141" s="8"/>
      <c r="X141" s="8">
        <v>45658</v>
      </c>
    </row>
    <row r="142" spans="1:24" ht="13">
      <c r="A142" s="1" t="s">
        <v>5</v>
      </c>
      <c r="B142" s="1"/>
      <c r="C142" s="1" t="s">
        <v>823</v>
      </c>
      <c r="D142" s="1" t="s">
        <v>824</v>
      </c>
      <c r="E142" s="1"/>
      <c r="F142" s="1" t="s">
        <v>825</v>
      </c>
      <c r="G142" s="78">
        <v>45824</v>
      </c>
      <c r="H142" s="4"/>
      <c r="I142" s="4" t="s">
        <v>448</v>
      </c>
      <c r="J142" s="66" t="b">
        <v>0</v>
      </c>
      <c r="K142" s="67" t="b">
        <v>0</v>
      </c>
      <c r="L142" s="68" t="b">
        <v>0</v>
      </c>
      <c r="M142" s="66" t="b">
        <v>0</v>
      </c>
      <c r="N142" s="67" t="b">
        <v>0</v>
      </c>
      <c r="O142" s="68" t="b">
        <v>0</v>
      </c>
      <c r="P142" s="66" t="b">
        <v>0</v>
      </c>
      <c r="Q142" s="67" t="b">
        <v>0</v>
      </c>
      <c r="R142" s="68" t="b">
        <v>0</v>
      </c>
      <c r="S142" s="8"/>
      <c r="T142" s="8"/>
      <c r="U142" s="8"/>
      <c r="V142" s="8"/>
      <c r="W142" s="8"/>
      <c r="X142" s="8">
        <v>45658</v>
      </c>
    </row>
    <row r="143" spans="1:24" ht="13">
      <c r="A143" s="1" t="s">
        <v>5</v>
      </c>
      <c r="B143" s="1"/>
      <c r="C143" s="1" t="s">
        <v>826</v>
      </c>
      <c r="D143" s="42" t="s">
        <v>827</v>
      </c>
      <c r="E143" s="75" t="s">
        <v>828</v>
      </c>
      <c r="F143" s="1" t="s">
        <v>829</v>
      </c>
      <c r="G143" s="77">
        <v>45825</v>
      </c>
      <c r="H143" s="4"/>
      <c r="I143" s="4" t="s">
        <v>448</v>
      </c>
      <c r="J143" s="66" t="b">
        <v>0</v>
      </c>
      <c r="K143" s="67" t="b">
        <v>0</v>
      </c>
      <c r="L143" s="68" t="b">
        <v>0</v>
      </c>
      <c r="M143" s="66" t="b">
        <v>0</v>
      </c>
      <c r="N143" s="67" t="b">
        <v>0</v>
      </c>
      <c r="O143" s="68" t="b">
        <v>0</v>
      </c>
      <c r="P143" s="66" t="b">
        <v>0</v>
      </c>
      <c r="Q143" s="67" t="b">
        <v>0</v>
      </c>
      <c r="R143" s="68" t="b">
        <v>0</v>
      </c>
      <c r="S143" s="8"/>
    </row>
    <row r="144" spans="1:24" ht="13">
      <c r="A144" s="1" t="s">
        <v>5</v>
      </c>
      <c r="B144" s="1"/>
      <c r="C144" s="1" t="s">
        <v>830</v>
      </c>
      <c r="D144" s="1" t="s">
        <v>831</v>
      </c>
      <c r="E144" s="1">
        <v>34677746784</v>
      </c>
      <c r="F144" s="1" t="s">
        <v>496</v>
      </c>
      <c r="G144" s="73">
        <v>45825</v>
      </c>
      <c r="H144" s="4"/>
      <c r="I144" s="4" t="s">
        <v>448</v>
      </c>
      <c r="J144" s="66" t="b">
        <v>0</v>
      </c>
      <c r="K144" s="67" t="b">
        <v>0</v>
      </c>
      <c r="L144" s="68" t="b">
        <v>0</v>
      </c>
      <c r="M144" s="66" t="b">
        <v>0</v>
      </c>
      <c r="N144" s="67" t="b">
        <v>0</v>
      </c>
      <c r="O144" s="68" t="b">
        <v>0</v>
      </c>
      <c r="P144" s="66" t="b">
        <v>0</v>
      </c>
      <c r="Q144" s="67" t="b">
        <v>0</v>
      </c>
      <c r="R144" s="68" t="b">
        <v>0</v>
      </c>
      <c r="S144" s="8"/>
      <c r="T144" s="8"/>
      <c r="U144" s="8"/>
      <c r="V144" s="8"/>
      <c r="W144" s="8"/>
      <c r="X144" s="8">
        <v>45658</v>
      </c>
    </row>
    <row r="145" spans="1:19" ht="13">
      <c r="A145" s="1" t="s">
        <v>5</v>
      </c>
      <c r="B145" s="1"/>
      <c r="C145" s="1" t="s">
        <v>832</v>
      </c>
      <c r="D145" s="1" t="s">
        <v>833</v>
      </c>
      <c r="E145" s="1">
        <v>15401547433232</v>
      </c>
      <c r="F145" s="1" t="s">
        <v>657</v>
      </c>
      <c r="G145" s="73">
        <v>45827</v>
      </c>
      <c r="H145" s="4"/>
      <c r="I145" s="4"/>
      <c r="J145" s="66" t="b">
        <v>0</v>
      </c>
      <c r="K145" s="67" t="b">
        <v>0</v>
      </c>
      <c r="L145" s="68" t="b">
        <v>0</v>
      </c>
      <c r="M145" s="66" t="b">
        <v>0</v>
      </c>
      <c r="N145" s="67" t="b">
        <v>0</v>
      </c>
      <c r="O145" s="68" t="b">
        <v>0</v>
      </c>
      <c r="P145" s="66" t="b">
        <v>0</v>
      </c>
      <c r="Q145" s="67" t="b">
        <v>0</v>
      </c>
      <c r="R145" s="68" t="b">
        <v>0</v>
      </c>
      <c r="S145" s="8"/>
    </row>
    <row r="146" spans="1:19" ht="13">
      <c r="A146" s="1" t="s">
        <v>5</v>
      </c>
      <c r="B146" s="1"/>
      <c r="C146" s="1" t="s">
        <v>834</v>
      </c>
      <c r="D146" s="1" t="s">
        <v>835</v>
      </c>
      <c r="E146" s="1">
        <v>7873961357</v>
      </c>
      <c r="F146" s="1" t="s">
        <v>836</v>
      </c>
      <c r="G146" s="73">
        <v>45828</v>
      </c>
      <c r="H146" s="4"/>
      <c r="I146" s="4" t="s">
        <v>459</v>
      </c>
      <c r="J146" s="66" t="b">
        <v>0</v>
      </c>
      <c r="K146" s="67" t="b">
        <v>0</v>
      </c>
      <c r="L146" s="68" t="b">
        <v>0</v>
      </c>
      <c r="M146" s="66" t="b">
        <v>0</v>
      </c>
      <c r="N146" s="67" t="b">
        <v>0</v>
      </c>
      <c r="O146" s="68" t="b">
        <v>0</v>
      </c>
      <c r="P146" s="66" t="b">
        <v>0</v>
      </c>
      <c r="Q146" s="67" t="b">
        <v>0</v>
      </c>
      <c r="R146" s="68" t="b">
        <v>0</v>
      </c>
      <c r="S146" s="8"/>
    </row>
    <row r="147" spans="1:19" ht="13">
      <c r="A147" s="1" t="s">
        <v>5</v>
      </c>
      <c r="B147" s="1"/>
      <c r="C147" s="1" t="s">
        <v>837</v>
      </c>
      <c r="D147" s="1" t="s">
        <v>838</v>
      </c>
      <c r="E147" s="1">
        <v>56982298698</v>
      </c>
      <c r="F147" s="1" t="s">
        <v>102</v>
      </c>
      <c r="G147" s="73">
        <v>45830</v>
      </c>
      <c r="H147" s="4"/>
      <c r="I147" s="4" t="s">
        <v>459</v>
      </c>
      <c r="J147" s="66" t="b">
        <v>0</v>
      </c>
      <c r="K147" s="67" t="b">
        <v>0</v>
      </c>
      <c r="L147" s="68" t="b">
        <v>0</v>
      </c>
      <c r="M147" s="66" t="b">
        <v>0</v>
      </c>
      <c r="N147" s="67" t="b">
        <v>0</v>
      </c>
      <c r="O147" s="68" t="b">
        <v>0</v>
      </c>
      <c r="P147" s="66" t="b">
        <v>0</v>
      </c>
      <c r="Q147" s="67" t="b">
        <v>0</v>
      </c>
      <c r="R147" s="68" t="b">
        <v>0</v>
      </c>
      <c r="S147" s="8"/>
    </row>
    <row r="148" spans="1:19" ht="13">
      <c r="A148" s="1" t="s">
        <v>5</v>
      </c>
      <c r="B148" s="1"/>
      <c r="C148" s="1" t="s">
        <v>839</v>
      </c>
      <c r="D148" s="1" t="s">
        <v>840</v>
      </c>
      <c r="E148" s="1">
        <v>34677184781</v>
      </c>
      <c r="F148" s="1" t="s">
        <v>343</v>
      </c>
      <c r="G148" s="73">
        <v>45831</v>
      </c>
      <c r="H148" s="4"/>
      <c r="I148" s="4" t="s">
        <v>459</v>
      </c>
      <c r="J148" s="66" t="b">
        <v>0</v>
      </c>
      <c r="K148" s="67" t="b">
        <v>0</v>
      </c>
      <c r="L148" s="68" t="b">
        <v>0</v>
      </c>
      <c r="M148" s="66" t="b">
        <v>0</v>
      </c>
      <c r="N148" s="67" t="b">
        <v>0</v>
      </c>
      <c r="O148" s="68" t="b">
        <v>0</v>
      </c>
      <c r="P148" s="66" t="b">
        <v>0</v>
      </c>
      <c r="Q148" s="67" t="b">
        <v>0</v>
      </c>
      <c r="R148" s="68" t="b">
        <v>0</v>
      </c>
      <c r="S148" s="8"/>
    </row>
    <row r="149" spans="1:19" ht="13">
      <c r="A149" s="1" t="s">
        <v>5</v>
      </c>
      <c r="B149" s="1"/>
      <c r="C149" s="1" t="s">
        <v>841</v>
      </c>
      <c r="D149" s="1" t="s">
        <v>842</v>
      </c>
      <c r="E149" s="1">
        <v>34608773347</v>
      </c>
      <c r="F149" s="1" t="s">
        <v>496</v>
      </c>
      <c r="G149" s="73">
        <v>45831</v>
      </c>
      <c r="H149" s="4"/>
      <c r="I149" s="4" t="s">
        <v>448</v>
      </c>
      <c r="J149" s="66" t="b">
        <v>0</v>
      </c>
      <c r="K149" s="67" t="b">
        <v>0</v>
      </c>
      <c r="L149" s="68" t="b">
        <v>0</v>
      </c>
      <c r="M149" s="66" t="b">
        <v>0</v>
      </c>
      <c r="N149" s="67" t="b">
        <v>0</v>
      </c>
      <c r="O149" s="68" t="b">
        <v>0</v>
      </c>
      <c r="P149" s="66" t="b">
        <v>0</v>
      </c>
      <c r="Q149" s="67" t="b">
        <v>0</v>
      </c>
      <c r="R149" s="68" t="b">
        <v>0</v>
      </c>
      <c r="S149" s="8"/>
    </row>
    <row r="150" spans="1:19" ht="13">
      <c r="A150" s="1" t="s">
        <v>5</v>
      </c>
      <c r="B150" s="1"/>
      <c r="C150" s="1" t="s">
        <v>843</v>
      </c>
      <c r="D150" s="1" t="s">
        <v>844</v>
      </c>
      <c r="E150" s="1">
        <v>543382465290</v>
      </c>
      <c r="F150" s="1" t="s">
        <v>845</v>
      </c>
      <c r="G150" s="73">
        <v>45833</v>
      </c>
      <c r="H150" s="4"/>
      <c r="I150" s="4" t="s">
        <v>459</v>
      </c>
      <c r="J150" s="66" t="b">
        <v>0</v>
      </c>
      <c r="K150" s="67" t="b">
        <v>0</v>
      </c>
      <c r="L150" s="68" t="b">
        <v>0</v>
      </c>
      <c r="M150" s="66" t="b">
        <v>0</v>
      </c>
      <c r="N150" s="67" t="b">
        <v>0</v>
      </c>
      <c r="O150" s="68" t="b">
        <v>0</v>
      </c>
      <c r="P150" s="66" t="b">
        <v>0</v>
      </c>
      <c r="Q150" s="67" t="b">
        <v>0</v>
      </c>
      <c r="R150" s="68" t="b">
        <v>0</v>
      </c>
      <c r="S150" s="8"/>
    </row>
    <row r="151" spans="1:19" ht="13">
      <c r="A151" s="1" t="s">
        <v>5</v>
      </c>
      <c r="B151" s="1"/>
      <c r="C151" s="1" t="s">
        <v>846</v>
      </c>
      <c r="D151" s="1" t="s">
        <v>847</v>
      </c>
      <c r="E151" s="1">
        <v>34678548265</v>
      </c>
      <c r="F151" s="1" t="s">
        <v>386</v>
      </c>
      <c r="G151" s="73">
        <v>45835</v>
      </c>
      <c r="H151" s="4"/>
      <c r="I151" s="4" t="s">
        <v>459</v>
      </c>
      <c r="J151" s="66" t="b">
        <v>0</v>
      </c>
      <c r="K151" s="67" t="b">
        <v>0</v>
      </c>
      <c r="L151" s="68" t="b">
        <v>0</v>
      </c>
      <c r="M151" s="66" t="b">
        <v>0</v>
      </c>
      <c r="N151" s="67" t="b">
        <v>0</v>
      </c>
      <c r="O151" s="68" t="b">
        <v>0</v>
      </c>
      <c r="P151" s="66" t="b">
        <v>0</v>
      </c>
      <c r="Q151" s="67" t="b">
        <v>0</v>
      </c>
      <c r="R151" s="68" t="b">
        <v>0</v>
      </c>
      <c r="S151" s="8"/>
    </row>
    <row r="152" spans="1:19" ht="13">
      <c r="A152" s="1" t="s">
        <v>5</v>
      </c>
      <c r="B152" s="1"/>
      <c r="C152" s="1" t="s">
        <v>848</v>
      </c>
      <c r="D152" s="1" t="s">
        <v>849</v>
      </c>
      <c r="E152" s="1">
        <v>56933072229</v>
      </c>
      <c r="F152" s="1" t="s">
        <v>488</v>
      </c>
      <c r="G152" s="73">
        <v>45835</v>
      </c>
      <c r="H152" s="4"/>
      <c r="I152" s="4" t="s">
        <v>448</v>
      </c>
      <c r="J152" s="66" t="b">
        <v>0</v>
      </c>
      <c r="K152" s="67" t="b">
        <v>0</v>
      </c>
      <c r="L152" s="68" t="b">
        <v>0</v>
      </c>
      <c r="M152" s="66" t="b">
        <v>0</v>
      </c>
      <c r="N152" s="67" t="b">
        <v>0</v>
      </c>
      <c r="O152" s="68" t="b">
        <v>0</v>
      </c>
      <c r="P152" s="66" t="b">
        <v>0</v>
      </c>
      <c r="Q152" s="67" t="b">
        <v>0</v>
      </c>
      <c r="R152" s="68" t="b">
        <v>0</v>
      </c>
      <c r="S152" s="8"/>
    </row>
    <row r="153" spans="1:19" ht="13">
      <c r="A153" s="1" t="s">
        <v>5</v>
      </c>
      <c r="B153" s="1"/>
      <c r="C153" s="1" t="s">
        <v>850</v>
      </c>
      <c r="D153" s="1" t="s">
        <v>851</v>
      </c>
      <c r="E153" s="1">
        <v>591150443937</v>
      </c>
      <c r="F153" s="1" t="s">
        <v>500</v>
      </c>
      <c r="G153" s="73">
        <v>45836</v>
      </c>
      <c r="H153" s="4"/>
      <c r="I153" s="4" t="s">
        <v>459</v>
      </c>
      <c r="J153" s="66" t="b">
        <v>0</v>
      </c>
      <c r="K153" s="67" t="b">
        <v>0</v>
      </c>
      <c r="L153" s="68" t="b">
        <v>0</v>
      </c>
      <c r="M153" s="66" t="b">
        <v>0</v>
      </c>
      <c r="N153" s="67" t="b">
        <v>0</v>
      </c>
      <c r="O153" s="68" t="b">
        <v>0</v>
      </c>
      <c r="P153" s="66" t="b">
        <v>0</v>
      </c>
      <c r="Q153" s="67" t="b">
        <v>0</v>
      </c>
      <c r="R153" s="68" t="b">
        <v>0</v>
      </c>
      <c r="S153" s="8"/>
    </row>
    <row r="154" spans="1:19" ht="13">
      <c r="A154" s="1" t="s">
        <v>5</v>
      </c>
      <c r="B154" s="1"/>
      <c r="C154" s="1" t="s">
        <v>852</v>
      </c>
      <c r="D154" s="1" t="s">
        <v>853</v>
      </c>
      <c r="E154" s="1">
        <v>5401166435894</v>
      </c>
      <c r="F154" s="1" t="s">
        <v>102</v>
      </c>
      <c r="G154" s="73">
        <v>45838</v>
      </c>
      <c r="H154" s="4"/>
      <c r="I154" s="4" t="s">
        <v>459</v>
      </c>
      <c r="J154" s="66" t="b">
        <v>0</v>
      </c>
      <c r="K154" s="67" t="b">
        <v>0</v>
      </c>
      <c r="L154" s="68" t="b">
        <v>0</v>
      </c>
      <c r="M154" s="66" t="b">
        <v>0</v>
      </c>
      <c r="N154" s="67" t="b">
        <v>0</v>
      </c>
      <c r="O154" s="68" t="b">
        <v>0</v>
      </c>
      <c r="P154" s="66" t="b">
        <v>0</v>
      </c>
      <c r="Q154" s="67" t="b">
        <v>0</v>
      </c>
      <c r="R154" s="68" t="b">
        <v>0</v>
      </c>
      <c r="S154" s="8"/>
    </row>
    <row r="155" spans="1:19" ht="13">
      <c r="A155" s="1" t="s">
        <v>5</v>
      </c>
      <c r="B155" s="1"/>
      <c r="C155" s="1" t="s">
        <v>854</v>
      </c>
      <c r="D155" s="1" t="s">
        <v>855</v>
      </c>
      <c r="E155" s="1">
        <v>56983591184</v>
      </c>
      <c r="F155" s="1" t="s">
        <v>52</v>
      </c>
      <c r="G155" s="73">
        <v>45839</v>
      </c>
      <c r="H155" s="4" t="s">
        <v>856</v>
      </c>
      <c r="I155" s="4" t="s">
        <v>459</v>
      </c>
      <c r="J155" s="68" t="b">
        <v>0</v>
      </c>
      <c r="K155" s="67" t="b">
        <v>0</v>
      </c>
      <c r="L155" s="68" t="b">
        <v>0</v>
      </c>
      <c r="M155" s="68" t="b">
        <v>1</v>
      </c>
      <c r="N155" s="67" t="b">
        <v>1</v>
      </c>
      <c r="O155" s="68" t="b">
        <v>0</v>
      </c>
      <c r="P155" s="66" t="b">
        <v>0</v>
      </c>
      <c r="Q155" s="67" t="b">
        <v>0</v>
      </c>
      <c r="R155" s="68" t="b">
        <v>0</v>
      </c>
      <c r="S155" s="8"/>
    </row>
    <row r="156" spans="1:19" ht="13">
      <c r="A156" s="1" t="s">
        <v>5</v>
      </c>
      <c r="B156" s="1"/>
      <c r="C156" s="1" t="s">
        <v>857</v>
      </c>
      <c r="D156" s="1" t="s">
        <v>858</v>
      </c>
      <c r="E156" s="1">
        <v>541140577861</v>
      </c>
      <c r="F156" s="1" t="s">
        <v>71</v>
      </c>
      <c r="G156" s="73">
        <v>45839</v>
      </c>
      <c r="H156" s="4" t="s">
        <v>856</v>
      </c>
      <c r="I156" s="4" t="s">
        <v>459</v>
      </c>
      <c r="J156" s="66" t="b">
        <v>0</v>
      </c>
      <c r="K156" s="67" t="b">
        <v>0</v>
      </c>
      <c r="L156" s="68" t="b">
        <v>0</v>
      </c>
      <c r="M156" s="66" t="b">
        <v>0</v>
      </c>
      <c r="N156" s="67" t="b">
        <v>0</v>
      </c>
      <c r="O156" s="68" t="b">
        <v>0</v>
      </c>
      <c r="P156" s="66" t="b">
        <v>0</v>
      </c>
      <c r="Q156" s="67" t="b">
        <v>0</v>
      </c>
      <c r="R156" s="68" t="b">
        <v>0</v>
      </c>
      <c r="S156" s="8"/>
    </row>
    <row r="157" spans="1:19" ht="13">
      <c r="A157" s="1" t="s">
        <v>5</v>
      </c>
      <c r="B157" s="1"/>
      <c r="C157" s="1" t="s">
        <v>859</v>
      </c>
      <c r="D157" s="1" t="s">
        <v>860</v>
      </c>
      <c r="E157" s="1">
        <v>527294974293</v>
      </c>
      <c r="F157" s="1" t="s">
        <v>56</v>
      </c>
      <c r="G157" s="73">
        <v>45839</v>
      </c>
      <c r="H157" s="4" t="s">
        <v>856</v>
      </c>
      <c r="I157" s="4" t="s">
        <v>459</v>
      </c>
      <c r="J157" s="66" t="b">
        <v>0</v>
      </c>
      <c r="K157" s="67" t="b">
        <v>0</v>
      </c>
      <c r="L157" s="68" t="b">
        <v>0</v>
      </c>
      <c r="M157" s="68" t="b">
        <v>1</v>
      </c>
      <c r="N157" s="67" t="b">
        <v>0</v>
      </c>
      <c r="O157" s="68" t="b">
        <v>0</v>
      </c>
      <c r="P157" s="66" t="b">
        <v>0</v>
      </c>
      <c r="Q157" s="67" t="b">
        <v>0</v>
      </c>
      <c r="R157" s="68" t="b">
        <v>0</v>
      </c>
      <c r="S157" s="8"/>
    </row>
    <row r="158" spans="1:19" ht="13">
      <c r="A158" s="1" t="s">
        <v>5</v>
      </c>
      <c r="B158" s="1"/>
      <c r="C158" s="1" t="s">
        <v>861</v>
      </c>
      <c r="D158" s="1" t="s">
        <v>10</v>
      </c>
      <c r="E158" s="1">
        <v>34625421034</v>
      </c>
      <c r="F158" s="1" t="s">
        <v>285</v>
      </c>
      <c r="G158" s="73">
        <v>45841</v>
      </c>
      <c r="H158" s="4" t="s">
        <v>856</v>
      </c>
      <c r="I158" s="4" t="s">
        <v>459</v>
      </c>
      <c r="J158" s="66" t="b">
        <v>0</v>
      </c>
      <c r="K158" s="67" t="b">
        <v>0</v>
      </c>
      <c r="L158" s="68" t="b">
        <v>0</v>
      </c>
      <c r="M158" s="68" t="b">
        <v>1</v>
      </c>
      <c r="N158" s="67" t="b">
        <v>0</v>
      </c>
      <c r="O158" s="68" t="b">
        <v>0</v>
      </c>
      <c r="P158" s="66" t="b">
        <v>0</v>
      </c>
      <c r="Q158" s="67" t="b">
        <v>0</v>
      </c>
      <c r="R158" s="68" t="b">
        <v>0</v>
      </c>
      <c r="S158" s="8"/>
    </row>
    <row r="159" spans="1:19" ht="13">
      <c r="A159" s="1" t="s">
        <v>5</v>
      </c>
      <c r="B159" s="1"/>
      <c r="C159" s="1" t="s">
        <v>862</v>
      </c>
      <c r="D159" s="1" t="s">
        <v>863</v>
      </c>
      <c r="E159" s="1">
        <v>3853854723699</v>
      </c>
      <c r="F159" s="1" t="s">
        <v>864</v>
      </c>
      <c r="G159" s="73">
        <v>45841</v>
      </c>
      <c r="H159" s="4"/>
      <c r="I159" s="4" t="s">
        <v>459</v>
      </c>
      <c r="J159" s="66" t="b">
        <v>0</v>
      </c>
      <c r="K159" s="67" t="b">
        <v>0</v>
      </c>
      <c r="L159" s="68" t="b">
        <v>0</v>
      </c>
      <c r="M159" s="66" t="b">
        <v>0</v>
      </c>
      <c r="N159" s="67" t="b">
        <v>0</v>
      </c>
      <c r="O159" s="68" t="b">
        <v>0</v>
      </c>
      <c r="P159" s="66" t="b">
        <v>0</v>
      </c>
      <c r="Q159" s="67" t="b">
        <v>0</v>
      </c>
      <c r="R159" s="68" t="b">
        <v>0</v>
      </c>
      <c r="S159" s="8"/>
    </row>
    <row r="160" spans="1:19" ht="13">
      <c r="A160" s="1" t="s">
        <v>5</v>
      </c>
      <c r="B160" s="1"/>
      <c r="C160" s="1" t="s">
        <v>865</v>
      </c>
      <c r="D160" s="1" t="s">
        <v>652</v>
      </c>
      <c r="E160" s="1">
        <v>34672731777</v>
      </c>
      <c r="F160" s="1" t="s">
        <v>636</v>
      </c>
      <c r="G160" s="73">
        <v>45841</v>
      </c>
      <c r="H160" s="4"/>
      <c r="I160" s="4" t="s">
        <v>448</v>
      </c>
      <c r="J160" s="66" t="b">
        <v>0</v>
      </c>
      <c r="K160" s="67" t="b">
        <v>0</v>
      </c>
      <c r="L160" s="68" t="b">
        <v>0</v>
      </c>
      <c r="M160" s="66" t="b">
        <v>0</v>
      </c>
      <c r="N160" s="67" t="b">
        <v>0</v>
      </c>
      <c r="O160" s="68" t="b">
        <v>0</v>
      </c>
      <c r="P160" s="66" t="b">
        <v>0</v>
      </c>
      <c r="Q160" s="67" t="b">
        <v>0</v>
      </c>
      <c r="R160" s="68" t="b">
        <v>0</v>
      </c>
      <c r="S160" s="8"/>
    </row>
    <row r="161" spans="1:19" ht="13">
      <c r="A161" s="1" t="s">
        <v>5</v>
      </c>
      <c r="B161" s="1"/>
      <c r="C161" s="1" t="s">
        <v>866</v>
      </c>
      <c r="D161" s="1" t="s">
        <v>867</v>
      </c>
      <c r="E161" s="1">
        <v>34649654377</v>
      </c>
      <c r="F161" s="1" t="s">
        <v>52</v>
      </c>
      <c r="G161" s="73">
        <v>45842</v>
      </c>
      <c r="H161" s="4"/>
      <c r="I161" s="4" t="s">
        <v>448</v>
      </c>
      <c r="J161" s="66" t="b">
        <v>0</v>
      </c>
      <c r="K161" s="67" t="b">
        <v>0</v>
      </c>
      <c r="L161" s="68" t="b">
        <v>0</v>
      </c>
      <c r="M161" s="66" t="b">
        <v>0</v>
      </c>
      <c r="N161" s="67" t="b">
        <v>0</v>
      </c>
      <c r="O161" s="68" t="b">
        <v>0</v>
      </c>
      <c r="P161" s="66" t="b">
        <v>0</v>
      </c>
      <c r="Q161" s="67" t="b">
        <v>0</v>
      </c>
      <c r="R161" s="68" t="b">
        <v>0</v>
      </c>
      <c r="S161" s="8"/>
    </row>
    <row r="162" spans="1:19" ht="13">
      <c r="A162" s="1" t="s">
        <v>5</v>
      </c>
      <c r="B162" s="1"/>
      <c r="C162" s="1" t="s">
        <v>868</v>
      </c>
      <c r="D162" s="1" t="s">
        <v>869</v>
      </c>
      <c r="E162" s="1">
        <v>51916418570</v>
      </c>
      <c r="F162" s="1" t="s">
        <v>172</v>
      </c>
      <c r="G162" s="73">
        <v>45842</v>
      </c>
      <c r="H162" s="4"/>
      <c r="I162" s="4" t="s">
        <v>459</v>
      </c>
      <c r="J162" s="66" t="b">
        <v>0</v>
      </c>
      <c r="K162" s="67" t="b">
        <v>0</v>
      </c>
      <c r="L162" s="68" t="b">
        <v>0</v>
      </c>
      <c r="M162" s="66" t="b">
        <v>0</v>
      </c>
      <c r="N162" s="67" t="b">
        <v>0</v>
      </c>
      <c r="O162" s="68" t="b">
        <v>0</v>
      </c>
      <c r="P162" s="66" t="b">
        <v>0</v>
      </c>
      <c r="Q162" s="67" t="b">
        <v>0</v>
      </c>
      <c r="R162" s="68" t="b">
        <v>0</v>
      </c>
      <c r="S162" s="8"/>
    </row>
    <row r="163" spans="1:19" ht="13">
      <c r="A163" s="1" t="s">
        <v>5</v>
      </c>
      <c r="B163" s="1"/>
      <c r="C163" s="1" t="s">
        <v>870</v>
      </c>
      <c r="D163" s="1" t="s">
        <v>871</v>
      </c>
      <c r="E163" s="1">
        <v>13474419937</v>
      </c>
      <c r="F163" s="1" t="s">
        <v>71</v>
      </c>
      <c r="G163" s="73">
        <v>45844</v>
      </c>
      <c r="H163" s="4"/>
      <c r="I163" s="4" t="s">
        <v>459</v>
      </c>
      <c r="J163" s="66" t="b">
        <v>0</v>
      </c>
      <c r="K163" s="67" t="b">
        <v>0</v>
      </c>
      <c r="L163" s="68" t="b">
        <v>0</v>
      </c>
      <c r="M163" s="66" t="b">
        <v>0</v>
      </c>
      <c r="N163" s="67" t="b">
        <v>0</v>
      </c>
      <c r="O163" s="68" t="b">
        <v>0</v>
      </c>
      <c r="P163" s="66" t="b">
        <v>0</v>
      </c>
      <c r="Q163" s="67" t="b">
        <v>0</v>
      </c>
      <c r="R163" s="68" t="b">
        <v>0</v>
      </c>
      <c r="S163" s="8"/>
    </row>
    <row r="164" spans="1:19" ht="13">
      <c r="A164" s="1" t="s">
        <v>5</v>
      </c>
      <c r="B164" s="1" t="s">
        <v>119</v>
      </c>
      <c r="C164" s="1" t="s">
        <v>872</v>
      </c>
      <c r="D164" s="1" t="s">
        <v>873</v>
      </c>
      <c r="E164" s="1">
        <v>34626381281</v>
      </c>
      <c r="F164" s="1" t="s">
        <v>27</v>
      </c>
      <c r="G164" s="73">
        <v>45844</v>
      </c>
      <c r="H164" s="4"/>
      <c r="I164" s="4" t="s">
        <v>459</v>
      </c>
      <c r="J164" s="66" t="b">
        <v>0</v>
      </c>
      <c r="K164" s="67" t="b">
        <v>0</v>
      </c>
      <c r="L164" s="68" t="b">
        <v>0</v>
      </c>
      <c r="M164" s="66" t="b">
        <v>0</v>
      </c>
      <c r="N164" s="67" t="b">
        <v>0</v>
      </c>
      <c r="O164" s="68" t="b">
        <v>0</v>
      </c>
      <c r="P164" s="66" t="b">
        <v>0</v>
      </c>
      <c r="Q164" s="67" t="b">
        <v>0</v>
      </c>
      <c r="R164" s="68" t="b">
        <v>0</v>
      </c>
      <c r="S164" s="8"/>
    </row>
    <row r="165" spans="1:19" ht="13">
      <c r="A165" s="1" t="s">
        <v>5</v>
      </c>
      <c r="B165" s="1"/>
      <c r="C165" s="1" t="s">
        <v>874</v>
      </c>
      <c r="D165" s="1" t="s">
        <v>875</v>
      </c>
      <c r="E165" s="1">
        <v>50431491528</v>
      </c>
      <c r="F165" s="79" t="s">
        <v>121</v>
      </c>
      <c r="G165" s="73">
        <v>45845</v>
      </c>
      <c r="H165" s="4"/>
      <c r="I165" s="4" t="s">
        <v>448</v>
      </c>
      <c r="J165" s="66" t="b">
        <v>0</v>
      </c>
      <c r="K165" s="67" t="b">
        <v>0</v>
      </c>
      <c r="L165" s="68" t="b">
        <v>0</v>
      </c>
      <c r="M165" s="66" t="b">
        <v>0</v>
      </c>
      <c r="N165" s="67" t="b">
        <v>0</v>
      </c>
      <c r="O165" s="68" t="b">
        <v>0</v>
      </c>
      <c r="P165" s="66" t="b">
        <v>0</v>
      </c>
      <c r="Q165" s="67" t="b">
        <v>0</v>
      </c>
      <c r="R165" s="68" t="b">
        <v>0</v>
      </c>
      <c r="S165" s="8"/>
    </row>
    <row r="166" spans="1:19" ht="13">
      <c r="A166" s="1" t="s">
        <v>5</v>
      </c>
      <c r="B166" s="1"/>
      <c r="C166" s="1" t="s">
        <v>876</v>
      </c>
      <c r="D166" s="1" t="s">
        <v>877</v>
      </c>
      <c r="E166" s="1">
        <v>34664772501</v>
      </c>
      <c r="F166" s="1" t="s">
        <v>111</v>
      </c>
      <c r="G166" s="73">
        <v>45846</v>
      </c>
      <c r="H166" s="4"/>
      <c r="I166" s="4" t="s">
        <v>459</v>
      </c>
      <c r="J166" s="66" t="b">
        <v>0</v>
      </c>
      <c r="K166" s="67" t="b">
        <v>0</v>
      </c>
      <c r="L166" s="68" t="b">
        <v>0</v>
      </c>
      <c r="M166" s="66" t="b">
        <v>0</v>
      </c>
      <c r="N166" s="67" t="b">
        <v>0</v>
      </c>
      <c r="O166" s="68" t="b">
        <v>0</v>
      </c>
      <c r="P166" s="66" t="b">
        <v>0</v>
      </c>
      <c r="Q166" s="67" t="b">
        <v>0</v>
      </c>
      <c r="R166" s="68" t="b">
        <v>0</v>
      </c>
      <c r="S166" s="8"/>
    </row>
    <row r="167" spans="1:19" ht="13">
      <c r="A167" s="1" t="s">
        <v>5</v>
      </c>
      <c r="B167" s="1"/>
      <c r="C167" s="1" t="s">
        <v>878</v>
      </c>
      <c r="D167" s="1" t="s">
        <v>879</v>
      </c>
      <c r="E167" s="1">
        <v>34640263103</v>
      </c>
      <c r="F167" s="1" t="s">
        <v>82</v>
      </c>
      <c r="G167" s="73">
        <v>45847</v>
      </c>
      <c r="H167" s="4"/>
      <c r="I167" s="4" t="s">
        <v>459</v>
      </c>
      <c r="J167" s="66" t="b">
        <v>0</v>
      </c>
      <c r="K167" s="67" t="b">
        <v>0</v>
      </c>
      <c r="L167" s="68" t="b">
        <v>0</v>
      </c>
      <c r="M167" s="66" t="b">
        <v>0</v>
      </c>
      <c r="N167" s="67" t="b">
        <v>0</v>
      </c>
      <c r="O167" s="68" t="b">
        <v>0</v>
      </c>
      <c r="P167" s="66" t="b">
        <v>0</v>
      </c>
      <c r="Q167" s="67" t="b">
        <v>0</v>
      </c>
      <c r="R167" s="68" t="b">
        <v>0</v>
      </c>
      <c r="S167" s="8"/>
    </row>
    <row r="168" spans="1:19" ht="13">
      <c r="A168" s="1" t="s">
        <v>5</v>
      </c>
      <c r="B168" s="1" t="s">
        <v>119</v>
      </c>
      <c r="C168" s="1" t="s">
        <v>880</v>
      </c>
      <c r="D168" s="1" t="s">
        <v>881</v>
      </c>
      <c r="E168" s="1">
        <v>34620293551</v>
      </c>
      <c r="F168" s="1" t="s">
        <v>27</v>
      </c>
      <c r="G168" s="73">
        <v>45847</v>
      </c>
      <c r="H168" s="4" t="s">
        <v>856</v>
      </c>
      <c r="I168" s="4" t="s">
        <v>448</v>
      </c>
      <c r="J168" s="66" t="b">
        <v>0</v>
      </c>
      <c r="K168" s="67" t="b">
        <v>0</v>
      </c>
      <c r="L168" s="68" t="b">
        <v>0</v>
      </c>
      <c r="M168" s="66" t="b">
        <v>0</v>
      </c>
      <c r="N168" s="67" t="b">
        <v>0</v>
      </c>
      <c r="O168" s="68" t="b">
        <v>0</v>
      </c>
      <c r="P168" s="66" t="b">
        <v>0</v>
      </c>
      <c r="Q168" s="67" t="b">
        <v>0</v>
      </c>
      <c r="R168" s="68" t="b">
        <v>0</v>
      </c>
      <c r="S168" s="8"/>
    </row>
    <row r="169" spans="1:19" ht="13">
      <c r="A169" s="1" t="s">
        <v>5</v>
      </c>
      <c r="B169" s="1"/>
      <c r="C169" s="1" t="s">
        <v>882</v>
      </c>
      <c r="D169" s="1" t="s">
        <v>883</v>
      </c>
      <c r="E169" s="1">
        <v>522223452158</v>
      </c>
      <c r="F169" s="1" t="s">
        <v>316</v>
      </c>
      <c r="G169" s="73">
        <v>45847</v>
      </c>
      <c r="H169" s="4"/>
      <c r="I169" s="4" t="s">
        <v>459</v>
      </c>
      <c r="J169" s="66" t="b">
        <v>0</v>
      </c>
      <c r="K169" s="67" t="b">
        <v>0</v>
      </c>
      <c r="L169" s="68" t="b">
        <v>0</v>
      </c>
      <c r="M169" s="66" t="b">
        <v>0</v>
      </c>
      <c r="N169" s="67" t="b">
        <v>0</v>
      </c>
      <c r="O169" s="68" t="b">
        <v>0</v>
      </c>
      <c r="P169" s="66" t="b">
        <v>0</v>
      </c>
      <c r="Q169" s="67" t="b">
        <v>0</v>
      </c>
      <c r="R169" s="68" t="b">
        <v>0</v>
      </c>
      <c r="S169" s="8"/>
    </row>
    <row r="170" spans="1:19" ht="13">
      <c r="A170" s="1" t="s">
        <v>5</v>
      </c>
      <c r="B170" s="1"/>
      <c r="C170" s="1" t="s">
        <v>884</v>
      </c>
      <c r="D170" s="1" t="s">
        <v>885</v>
      </c>
      <c r="E170" s="1">
        <v>573105706950</v>
      </c>
      <c r="F170" s="1" t="s">
        <v>500</v>
      </c>
      <c r="G170" s="73">
        <v>45850</v>
      </c>
      <c r="H170" s="4"/>
      <c r="I170" s="4" t="s">
        <v>886</v>
      </c>
      <c r="J170" s="68" t="b">
        <v>1</v>
      </c>
      <c r="K170" s="67" t="b">
        <v>0</v>
      </c>
      <c r="L170" s="68" t="b">
        <v>0</v>
      </c>
      <c r="M170" s="66" t="b">
        <v>0</v>
      </c>
      <c r="N170" s="67" t="b">
        <v>0</v>
      </c>
      <c r="O170" s="68" t="b">
        <v>0</v>
      </c>
      <c r="P170" s="66" t="b">
        <v>0</v>
      </c>
      <c r="Q170" s="67" t="b">
        <v>0</v>
      </c>
      <c r="R170" s="68" t="b">
        <v>0</v>
      </c>
      <c r="S170" s="8"/>
    </row>
    <row r="171" spans="1:19" ht="13">
      <c r="A171" s="1" t="s">
        <v>5</v>
      </c>
      <c r="B171" s="1"/>
      <c r="C171" s="1" t="s">
        <v>887</v>
      </c>
      <c r="D171" s="1" t="s">
        <v>888</v>
      </c>
      <c r="E171" s="1">
        <v>34658298144</v>
      </c>
      <c r="F171" s="1" t="s">
        <v>30</v>
      </c>
      <c r="G171" s="73">
        <v>45850</v>
      </c>
      <c r="H171" s="4"/>
      <c r="I171" s="4" t="s">
        <v>459</v>
      </c>
      <c r="J171" s="66" t="b">
        <v>0</v>
      </c>
      <c r="K171" s="67" t="b">
        <v>0</v>
      </c>
      <c r="L171" s="68" t="b">
        <v>0</v>
      </c>
      <c r="M171" s="66" t="b">
        <v>0</v>
      </c>
      <c r="N171" s="67" t="b">
        <v>0</v>
      </c>
      <c r="O171" s="68" t="b">
        <v>0</v>
      </c>
      <c r="P171" s="66" t="b">
        <v>0</v>
      </c>
      <c r="Q171" s="67" t="b">
        <v>0</v>
      </c>
      <c r="R171" s="68" t="b">
        <v>0</v>
      </c>
      <c r="S171" s="8"/>
    </row>
    <row r="172" spans="1:19" ht="13">
      <c r="A172" s="1" t="s">
        <v>5</v>
      </c>
      <c r="B172" s="1"/>
      <c r="C172" s="1" t="s">
        <v>889</v>
      </c>
      <c r="D172" s="1" t="s">
        <v>890</v>
      </c>
      <c r="E172" s="1">
        <v>34657048999</v>
      </c>
      <c r="F172" s="1" t="s">
        <v>102</v>
      </c>
      <c r="G172" s="73">
        <v>45851</v>
      </c>
      <c r="H172" s="4"/>
      <c r="I172" s="4" t="s">
        <v>459</v>
      </c>
      <c r="J172" s="66" t="b">
        <v>0</v>
      </c>
      <c r="K172" s="67" t="b">
        <v>0</v>
      </c>
      <c r="L172" s="68" t="b">
        <v>0</v>
      </c>
      <c r="M172" s="66" t="b">
        <v>0</v>
      </c>
      <c r="N172" s="67" t="b">
        <v>0</v>
      </c>
      <c r="O172" s="68" t="b">
        <v>0</v>
      </c>
      <c r="P172" s="66" t="b">
        <v>0</v>
      </c>
      <c r="Q172" s="67" t="b">
        <v>0</v>
      </c>
      <c r="R172" s="68" t="b">
        <v>0</v>
      </c>
      <c r="S172" s="8"/>
    </row>
    <row r="173" spans="1:19" ht="13">
      <c r="A173" s="1" t="s">
        <v>5</v>
      </c>
      <c r="B173" s="1"/>
      <c r="C173" s="1" t="s">
        <v>891</v>
      </c>
      <c r="D173" s="1" t="s">
        <v>892</v>
      </c>
      <c r="E173" s="1">
        <v>573138038677</v>
      </c>
      <c r="F173" s="1" t="s">
        <v>27</v>
      </c>
      <c r="G173" s="73">
        <v>45852</v>
      </c>
      <c r="H173" s="4"/>
      <c r="I173" s="4" t="s">
        <v>459</v>
      </c>
      <c r="J173" s="66" t="b">
        <v>0</v>
      </c>
      <c r="K173" s="67" t="b">
        <v>0</v>
      </c>
      <c r="L173" s="68" t="b">
        <v>0</v>
      </c>
      <c r="M173" s="66" t="b">
        <v>0</v>
      </c>
      <c r="N173" s="67" t="b">
        <v>0</v>
      </c>
      <c r="O173" s="68" t="b">
        <v>0</v>
      </c>
      <c r="P173" s="66" t="b">
        <v>0</v>
      </c>
      <c r="Q173" s="67" t="b">
        <v>0</v>
      </c>
      <c r="R173" s="68" t="b">
        <v>0</v>
      </c>
      <c r="S173" s="8"/>
    </row>
    <row r="174" spans="1:19" ht="13">
      <c r="A174" s="1" t="s">
        <v>5</v>
      </c>
      <c r="B174" s="1"/>
      <c r="C174" s="1" t="s">
        <v>893</v>
      </c>
      <c r="D174" s="1" t="s">
        <v>894</v>
      </c>
      <c r="E174" s="1">
        <v>34624424417</v>
      </c>
      <c r="F174" s="1" t="s">
        <v>63</v>
      </c>
      <c r="G174" s="73">
        <v>45853</v>
      </c>
      <c r="H174" s="4"/>
      <c r="I174" s="4" t="s">
        <v>459</v>
      </c>
      <c r="J174" s="66" t="b">
        <v>0</v>
      </c>
      <c r="K174" s="67" t="b">
        <v>0</v>
      </c>
      <c r="L174" s="68" t="b">
        <v>0</v>
      </c>
      <c r="M174" s="66" t="b">
        <v>0</v>
      </c>
      <c r="N174" s="67" t="b">
        <v>0</v>
      </c>
      <c r="O174" s="68" t="b">
        <v>0</v>
      </c>
      <c r="P174" s="66" t="b">
        <v>0</v>
      </c>
      <c r="Q174" s="67" t="b">
        <v>0</v>
      </c>
      <c r="R174" s="68" t="b">
        <v>0</v>
      </c>
      <c r="S174" s="8"/>
    </row>
    <row r="175" spans="1:19" ht="13">
      <c r="A175" s="1" t="s">
        <v>5</v>
      </c>
      <c r="B175" s="1"/>
      <c r="C175" s="1" t="s">
        <v>895</v>
      </c>
      <c r="D175" s="1" t="s">
        <v>896</v>
      </c>
      <c r="E175" s="1">
        <f>5493406463639</f>
        <v>5493406463639</v>
      </c>
      <c r="F175" s="1" t="s">
        <v>335</v>
      </c>
      <c r="G175" s="73">
        <v>45854</v>
      </c>
      <c r="H175" s="4"/>
      <c r="I175" s="4" t="s">
        <v>459</v>
      </c>
      <c r="J175" s="66" t="b">
        <v>0</v>
      </c>
      <c r="K175" s="67" t="b">
        <v>0</v>
      </c>
      <c r="L175" s="68" t="b">
        <v>0</v>
      </c>
      <c r="M175" s="66" t="b">
        <v>0</v>
      </c>
      <c r="N175" s="67" t="b">
        <v>0</v>
      </c>
      <c r="O175" s="68" t="b">
        <v>0</v>
      </c>
      <c r="P175" s="66" t="b">
        <v>0</v>
      </c>
      <c r="Q175" s="67" t="b">
        <v>0</v>
      </c>
      <c r="R175" s="68" t="b">
        <v>0</v>
      </c>
      <c r="S175" s="8"/>
    </row>
    <row r="176" spans="1:19" ht="13">
      <c r="A176" s="1" t="s">
        <v>5</v>
      </c>
      <c r="B176" s="1"/>
      <c r="C176" s="1" t="s">
        <v>897</v>
      </c>
      <c r="D176" s="1" t="s">
        <v>898</v>
      </c>
      <c r="E176" s="1">
        <v>51954107937</v>
      </c>
      <c r="F176" s="1" t="s">
        <v>335</v>
      </c>
      <c r="G176" s="73">
        <v>45858</v>
      </c>
      <c r="H176" s="4"/>
      <c r="I176" s="4" t="s">
        <v>448</v>
      </c>
      <c r="J176" s="66" t="b">
        <v>0</v>
      </c>
      <c r="K176" s="67" t="b">
        <v>0</v>
      </c>
      <c r="L176" s="68" t="b">
        <v>0</v>
      </c>
      <c r="M176" s="66" t="b">
        <v>0</v>
      </c>
      <c r="N176" s="67" t="b">
        <v>0</v>
      </c>
      <c r="O176" s="68" t="b">
        <v>0</v>
      </c>
      <c r="P176" s="66" t="b">
        <v>0</v>
      </c>
      <c r="Q176" s="67" t="b">
        <v>0</v>
      </c>
      <c r="R176" s="68" t="b">
        <v>0</v>
      </c>
      <c r="S176" s="8"/>
    </row>
    <row r="177" spans="1:25" ht="13">
      <c r="A177" s="1" t="s">
        <v>5</v>
      </c>
      <c r="B177" s="1"/>
      <c r="C177" s="1" t="s">
        <v>899</v>
      </c>
      <c r="D177" s="1" t="s">
        <v>900</v>
      </c>
      <c r="E177" s="1">
        <v>5491168343566</v>
      </c>
      <c r="F177" s="1" t="s">
        <v>454</v>
      </c>
      <c r="G177" s="73">
        <v>45858</v>
      </c>
      <c r="H177" s="4"/>
      <c r="I177" s="4" t="s">
        <v>459</v>
      </c>
      <c r="J177" s="66" t="b">
        <v>0</v>
      </c>
      <c r="K177" s="67" t="b">
        <v>0</v>
      </c>
      <c r="L177" s="68" t="b">
        <v>0</v>
      </c>
      <c r="M177" s="66" t="b">
        <v>0</v>
      </c>
      <c r="N177" s="67" t="b">
        <v>0</v>
      </c>
      <c r="O177" s="68" t="b">
        <v>0</v>
      </c>
      <c r="P177" s="66" t="b">
        <v>0</v>
      </c>
      <c r="Q177" s="67" t="b">
        <v>0</v>
      </c>
      <c r="R177" s="68" t="b">
        <v>0</v>
      </c>
      <c r="S177" s="8"/>
    </row>
    <row r="178" spans="1:25" ht="13">
      <c r="A178" s="1" t="s">
        <v>5</v>
      </c>
      <c r="B178" s="1"/>
      <c r="C178" s="1" t="s">
        <v>901</v>
      </c>
      <c r="D178" s="1" t="s">
        <v>134</v>
      </c>
      <c r="E178" s="1">
        <v>18186973542</v>
      </c>
      <c r="F178" s="1" t="s">
        <v>902</v>
      </c>
      <c r="G178" s="73">
        <v>45858</v>
      </c>
      <c r="H178" s="4"/>
      <c r="I178" s="4" t="s">
        <v>459</v>
      </c>
      <c r="J178" s="66" t="b">
        <v>0</v>
      </c>
      <c r="K178" s="67" t="b">
        <v>0</v>
      </c>
      <c r="L178" s="68" t="b">
        <v>0</v>
      </c>
      <c r="M178" s="66" t="b">
        <v>0</v>
      </c>
      <c r="N178" s="67" t="b">
        <v>0</v>
      </c>
      <c r="O178" s="68" t="b">
        <v>0</v>
      </c>
      <c r="P178" s="66" t="b">
        <v>0</v>
      </c>
      <c r="Q178" s="67" t="b">
        <v>0</v>
      </c>
      <c r="R178" s="68" t="b">
        <v>0</v>
      </c>
      <c r="S178" s="8"/>
    </row>
    <row r="179" spans="1:25" ht="13">
      <c r="A179" s="1" t="s">
        <v>5</v>
      </c>
      <c r="B179" s="1" t="s">
        <v>119</v>
      </c>
      <c r="C179" s="1" t="s">
        <v>903</v>
      </c>
      <c r="D179" s="1" t="s">
        <v>904</v>
      </c>
      <c r="E179" s="75">
        <v>34665496854</v>
      </c>
      <c r="F179" s="1" t="s">
        <v>27</v>
      </c>
      <c r="G179" s="73">
        <v>45859</v>
      </c>
      <c r="H179" s="4"/>
      <c r="I179" s="4" t="s">
        <v>459</v>
      </c>
      <c r="J179" s="66" t="b">
        <v>0</v>
      </c>
      <c r="K179" s="67" t="b">
        <v>0</v>
      </c>
      <c r="L179" s="68" t="b">
        <v>0</v>
      </c>
      <c r="M179" s="66" t="b">
        <v>0</v>
      </c>
      <c r="N179" s="67" t="b">
        <v>0</v>
      </c>
      <c r="O179" s="68" t="b">
        <v>0</v>
      </c>
      <c r="P179" s="66" t="b">
        <v>0</v>
      </c>
      <c r="Q179" s="67" t="b">
        <v>0</v>
      </c>
      <c r="R179" s="68" t="b">
        <v>0</v>
      </c>
      <c r="S179" s="8"/>
    </row>
    <row r="180" spans="1:25" ht="13">
      <c r="A180" s="1" t="s">
        <v>5</v>
      </c>
      <c r="B180" s="1"/>
      <c r="C180" s="1" t="s">
        <v>905</v>
      </c>
      <c r="D180" s="1" t="s">
        <v>906</v>
      </c>
      <c r="E180" s="1">
        <v>56995413426</v>
      </c>
      <c r="F180" s="1" t="s">
        <v>689</v>
      </c>
      <c r="G180" s="73">
        <v>45859</v>
      </c>
      <c r="H180" s="4"/>
      <c r="I180" s="4" t="s">
        <v>459</v>
      </c>
      <c r="J180" s="66" t="b">
        <v>0</v>
      </c>
      <c r="K180" s="67" t="b">
        <v>0</v>
      </c>
      <c r="L180" s="68" t="b">
        <v>0</v>
      </c>
      <c r="M180" s="66" t="b">
        <v>0</v>
      </c>
      <c r="N180" s="67" t="b">
        <v>0</v>
      </c>
      <c r="O180" s="68" t="b">
        <v>0</v>
      </c>
      <c r="P180" s="66" t="b">
        <v>0</v>
      </c>
      <c r="Q180" s="67" t="b">
        <v>0</v>
      </c>
      <c r="R180" s="68" t="b">
        <v>0</v>
      </c>
      <c r="S180" s="8"/>
    </row>
    <row r="181" spans="1:25" ht="13">
      <c r="A181" s="1" t="s">
        <v>5</v>
      </c>
      <c r="B181" s="1"/>
      <c r="C181" s="1" t="s">
        <v>907</v>
      </c>
      <c r="D181" s="1" t="s">
        <v>908</v>
      </c>
      <c r="E181" s="1">
        <v>34600000000</v>
      </c>
      <c r="F181" s="1" t="s">
        <v>496</v>
      </c>
      <c r="G181" s="73">
        <v>45860</v>
      </c>
      <c r="H181" s="4"/>
      <c r="I181" s="4" t="s">
        <v>459</v>
      </c>
      <c r="J181" s="66" t="b">
        <v>0</v>
      </c>
      <c r="K181" s="67" t="b">
        <v>0</v>
      </c>
      <c r="L181" s="68" t="b">
        <v>1</v>
      </c>
      <c r="M181" s="66" t="b">
        <v>0</v>
      </c>
      <c r="N181" s="67" t="b">
        <v>0</v>
      </c>
      <c r="O181" s="68" t="b">
        <v>0</v>
      </c>
      <c r="P181" s="66" t="b">
        <v>0</v>
      </c>
      <c r="Q181" s="67" t="b">
        <v>0</v>
      </c>
      <c r="R181" s="68" t="b">
        <v>0</v>
      </c>
      <c r="S181" s="8"/>
    </row>
    <row r="182" spans="1:25" ht="13">
      <c r="A182" s="1" t="s">
        <v>5</v>
      </c>
      <c r="B182" s="1"/>
      <c r="C182" s="1" t="s">
        <v>909</v>
      </c>
      <c r="D182" s="1" t="s">
        <v>910</v>
      </c>
      <c r="E182" s="1">
        <v>56944071887</v>
      </c>
      <c r="F182" s="1" t="s">
        <v>319</v>
      </c>
      <c r="G182" s="73">
        <v>45860</v>
      </c>
      <c r="H182" s="4"/>
      <c r="I182" s="4" t="s">
        <v>448</v>
      </c>
      <c r="J182" s="66" t="b">
        <v>0</v>
      </c>
      <c r="K182" s="67" t="b">
        <v>0</v>
      </c>
      <c r="L182" s="68" t="b">
        <v>0</v>
      </c>
      <c r="M182" s="66" t="b">
        <v>0</v>
      </c>
      <c r="N182" s="67" t="b">
        <v>0</v>
      </c>
      <c r="O182" s="68" t="b">
        <v>0</v>
      </c>
      <c r="P182" s="66" t="b">
        <v>0</v>
      </c>
      <c r="Q182" s="67" t="b">
        <v>0</v>
      </c>
      <c r="R182" s="68" t="b">
        <v>0</v>
      </c>
      <c r="S182" s="8"/>
      <c r="T182" s="5">
        <v>45869</v>
      </c>
      <c r="U182" s="2">
        <v>728.2</v>
      </c>
      <c r="W182" s="4">
        <v>1</v>
      </c>
      <c r="X182" s="8">
        <v>45658</v>
      </c>
    </row>
    <row r="183" spans="1:25" ht="13">
      <c r="A183" s="1" t="s">
        <v>5</v>
      </c>
      <c r="B183" s="1"/>
      <c r="C183" s="1" t="s">
        <v>911</v>
      </c>
      <c r="D183" s="1" t="s">
        <v>912</v>
      </c>
      <c r="E183" s="1">
        <v>3465656565656</v>
      </c>
      <c r="F183" s="1" t="s">
        <v>27</v>
      </c>
      <c r="G183" s="73">
        <v>45860</v>
      </c>
      <c r="H183" s="4"/>
      <c r="I183" s="4" t="s">
        <v>459</v>
      </c>
      <c r="J183" s="66" t="b">
        <v>0</v>
      </c>
      <c r="K183" s="67" t="b">
        <v>0</v>
      </c>
      <c r="L183" s="68" t="b">
        <v>0</v>
      </c>
      <c r="M183" s="66" t="b">
        <v>0</v>
      </c>
      <c r="N183" s="67" t="b">
        <v>0</v>
      </c>
      <c r="O183" s="68" t="b">
        <v>0</v>
      </c>
      <c r="P183" s="66" t="b">
        <v>0</v>
      </c>
      <c r="Q183" s="67" t="b">
        <v>0</v>
      </c>
      <c r="R183" s="68" t="b">
        <v>0</v>
      </c>
      <c r="S183" s="8"/>
    </row>
    <row r="184" spans="1:25" ht="13">
      <c r="A184" s="1" t="s">
        <v>5</v>
      </c>
      <c r="B184" s="1"/>
      <c r="C184" s="1" t="s">
        <v>913</v>
      </c>
      <c r="D184" s="1" t="s">
        <v>914</v>
      </c>
      <c r="E184" s="1">
        <v>523332008381</v>
      </c>
      <c r="F184" s="1" t="s">
        <v>915</v>
      </c>
      <c r="G184" s="73">
        <v>45861</v>
      </c>
      <c r="H184" s="4"/>
      <c r="I184" s="4" t="s">
        <v>459</v>
      </c>
      <c r="J184" s="66" t="b">
        <v>0</v>
      </c>
      <c r="K184" s="67" t="b">
        <v>0</v>
      </c>
      <c r="L184" s="68" t="b">
        <v>0</v>
      </c>
      <c r="M184" s="66" t="b">
        <v>0</v>
      </c>
      <c r="N184" s="67" t="b">
        <v>0</v>
      </c>
      <c r="O184" s="68" t="b">
        <v>0</v>
      </c>
      <c r="P184" s="66" t="b">
        <v>0</v>
      </c>
      <c r="Q184" s="67" t="b">
        <v>0</v>
      </c>
      <c r="R184" s="68" t="b">
        <v>0</v>
      </c>
      <c r="S184" s="8"/>
    </row>
    <row r="185" spans="1:25" ht="13">
      <c r="A185" s="1" t="s">
        <v>5</v>
      </c>
      <c r="B185" s="1"/>
      <c r="C185" s="1" t="s">
        <v>916</v>
      </c>
      <c r="D185" s="1" t="s">
        <v>917</v>
      </c>
      <c r="E185" s="1">
        <v>34656867979</v>
      </c>
      <c r="F185" s="1" t="s">
        <v>500</v>
      </c>
      <c r="G185" s="73">
        <v>45861</v>
      </c>
      <c r="H185" s="4"/>
      <c r="I185" s="4" t="s">
        <v>459</v>
      </c>
      <c r="J185" s="66" t="b">
        <v>0</v>
      </c>
      <c r="K185" s="67" t="b">
        <v>0</v>
      </c>
      <c r="L185" s="68" t="b">
        <v>0</v>
      </c>
      <c r="M185" s="66" t="b">
        <v>0</v>
      </c>
      <c r="N185" s="67" t="b">
        <v>0</v>
      </c>
      <c r="O185" s="68" t="b">
        <v>0</v>
      </c>
      <c r="P185" s="66" t="b">
        <v>0</v>
      </c>
      <c r="Q185" s="67" t="b">
        <v>0</v>
      </c>
      <c r="R185" s="68" t="b">
        <v>0</v>
      </c>
      <c r="S185" s="8"/>
    </row>
    <row r="186" spans="1:25" ht="13">
      <c r="A186" s="1" t="s">
        <v>5</v>
      </c>
      <c r="B186" s="1"/>
      <c r="C186" s="1" t="s">
        <v>918</v>
      </c>
      <c r="D186" s="1" t="s">
        <v>919</v>
      </c>
      <c r="E186" s="1">
        <v>34600260773</v>
      </c>
      <c r="F186" s="1" t="s">
        <v>289</v>
      </c>
      <c r="G186" s="73">
        <v>45861</v>
      </c>
      <c r="H186" s="4"/>
      <c r="I186" s="4" t="s">
        <v>459</v>
      </c>
      <c r="J186" s="66" t="b">
        <v>0</v>
      </c>
      <c r="K186" s="67" t="b">
        <v>0</v>
      </c>
      <c r="L186" s="68" t="b">
        <v>0</v>
      </c>
      <c r="M186" s="66" t="b">
        <v>0</v>
      </c>
      <c r="N186" s="67" t="b">
        <v>0</v>
      </c>
      <c r="O186" s="68" t="b">
        <v>0</v>
      </c>
      <c r="P186" s="66" t="b">
        <v>0</v>
      </c>
      <c r="Q186" s="67" t="b">
        <v>0</v>
      </c>
      <c r="R186" s="68" t="b">
        <v>0</v>
      </c>
      <c r="S186" s="8"/>
    </row>
    <row r="187" spans="1:25" ht="13">
      <c r="A187" s="1" t="s">
        <v>5</v>
      </c>
      <c r="B187" s="1"/>
      <c r="C187" s="1" t="s">
        <v>920</v>
      </c>
      <c r="D187" s="1" t="s">
        <v>921</v>
      </c>
      <c r="E187" s="1">
        <v>527713824312</v>
      </c>
      <c r="F187" s="1" t="s">
        <v>316</v>
      </c>
      <c r="G187" s="73">
        <v>45861</v>
      </c>
      <c r="H187" s="4"/>
      <c r="I187" s="4" t="s">
        <v>459</v>
      </c>
      <c r="J187" s="66" t="b">
        <v>0</v>
      </c>
      <c r="K187" s="67" t="b">
        <v>0</v>
      </c>
      <c r="L187" s="68" t="b">
        <v>0</v>
      </c>
      <c r="M187" s="66" t="b">
        <v>0</v>
      </c>
      <c r="N187" s="67" t="b">
        <v>0</v>
      </c>
      <c r="O187" s="68" t="b">
        <v>0</v>
      </c>
      <c r="P187" s="66" t="b">
        <v>0</v>
      </c>
      <c r="Q187" s="67" t="b">
        <v>0</v>
      </c>
      <c r="R187" s="68" t="b">
        <v>0</v>
      </c>
      <c r="S187" s="8"/>
    </row>
    <row r="188" spans="1:25" ht="13">
      <c r="A188" s="1" t="s">
        <v>5</v>
      </c>
      <c r="B188" s="1"/>
      <c r="C188" s="1" t="s">
        <v>922</v>
      </c>
      <c r="D188" s="1" t="s">
        <v>923</v>
      </c>
      <c r="E188" s="1">
        <v>12025955790</v>
      </c>
      <c r="F188" s="1" t="s">
        <v>82</v>
      </c>
      <c r="G188" s="73">
        <v>45862</v>
      </c>
      <c r="H188" s="4"/>
      <c r="I188" s="4"/>
      <c r="J188" s="66" t="b">
        <v>0</v>
      </c>
      <c r="K188" s="67" t="b">
        <v>0</v>
      </c>
      <c r="L188" s="68" t="b">
        <v>0</v>
      </c>
      <c r="M188" s="66" t="b">
        <v>0</v>
      </c>
      <c r="N188" s="67" t="b">
        <v>0</v>
      </c>
      <c r="O188" s="68" t="b">
        <v>0</v>
      </c>
      <c r="P188" s="66" t="b">
        <v>0</v>
      </c>
      <c r="Q188" s="67" t="b">
        <v>0</v>
      </c>
      <c r="R188" s="68" t="b">
        <v>0</v>
      </c>
      <c r="S188" s="8"/>
      <c r="T188" s="8"/>
      <c r="U188" s="8"/>
      <c r="V188" s="8"/>
      <c r="W188" s="8"/>
      <c r="X188" s="8"/>
      <c r="Y188" s="22"/>
    </row>
    <row r="189" spans="1:25" ht="13">
      <c r="A189" s="1" t="s">
        <v>5</v>
      </c>
      <c r="B189" s="1"/>
      <c r="C189" s="1" t="s">
        <v>924</v>
      </c>
      <c r="D189" s="1" t="s">
        <v>925</v>
      </c>
      <c r="E189" s="1">
        <v>526641759539</v>
      </c>
      <c r="F189" s="1" t="s">
        <v>797</v>
      </c>
      <c r="G189" s="73">
        <v>45862</v>
      </c>
      <c r="H189" s="4"/>
      <c r="I189" s="4"/>
      <c r="J189" s="66" t="b">
        <v>0</v>
      </c>
      <c r="K189" s="67" t="b">
        <v>0</v>
      </c>
      <c r="L189" s="68" t="b">
        <v>0</v>
      </c>
      <c r="M189" s="66" t="b">
        <v>0</v>
      </c>
      <c r="N189" s="67" t="b">
        <v>0</v>
      </c>
      <c r="O189" s="68" t="b">
        <v>0</v>
      </c>
      <c r="P189" s="66" t="b">
        <v>0</v>
      </c>
      <c r="Q189" s="67" t="b">
        <v>0</v>
      </c>
      <c r="R189" s="68" t="b">
        <v>0</v>
      </c>
      <c r="S189" s="8"/>
      <c r="T189" s="8"/>
      <c r="U189" s="8"/>
      <c r="V189" s="8"/>
      <c r="W189" s="8"/>
      <c r="X189" s="8"/>
      <c r="Y189" s="22"/>
    </row>
    <row r="190" spans="1:25" ht="13">
      <c r="A190" s="1" t="s">
        <v>5</v>
      </c>
      <c r="B190" s="1"/>
      <c r="C190" s="1" t="s">
        <v>926</v>
      </c>
      <c r="D190" s="1" t="s">
        <v>927</v>
      </c>
      <c r="E190" s="1">
        <v>573168334053</v>
      </c>
      <c r="F190" s="1" t="s">
        <v>928</v>
      </c>
      <c r="G190" s="73">
        <v>45863</v>
      </c>
      <c r="H190" s="4"/>
      <c r="I190" s="4" t="s">
        <v>459</v>
      </c>
      <c r="J190" s="66" t="b">
        <v>0</v>
      </c>
      <c r="K190" s="67" t="b">
        <v>0</v>
      </c>
      <c r="L190" s="68" t="b">
        <v>0</v>
      </c>
      <c r="M190" s="66" t="b">
        <v>0</v>
      </c>
      <c r="N190" s="67" t="b">
        <v>0</v>
      </c>
      <c r="O190" s="68" t="b">
        <v>0</v>
      </c>
      <c r="P190" s="66" t="b">
        <v>0</v>
      </c>
      <c r="Q190" s="67" t="b">
        <v>0</v>
      </c>
      <c r="R190" s="68" t="b">
        <v>0</v>
      </c>
      <c r="S190" s="8"/>
      <c r="T190" s="8"/>
      <c r="U190" s="8"/>
      <c r="V190" s="8"/>
      <c r="W190" s="8"/>
      <c r="X190" s="8"/>
      <c r="Y190" s="22"/>
    </row>
    <row r="191" spans="1:25" ht="13">
      <c r="A191" s="1" t="s">
        <v>5</v>
      </c>
      <c r="B191" s="1"/>
      <c r="C191" s="1" t="s">
        <v>929</v>
      </c>
      <c r="D191" s="1" t="s">
        <v>930</v>
      </c>
      <c r="E191" s="1">
        <v>34654690859</v>
      </c>
      <c r="F191" s="1" t="s">
        <v>40</v>
      </c>
      <c r="G191" s="73">
        <v>45864</v>
      </c>
      <c r="H191" s="4"/>
      <c r="I191" s="4" t="s">
        <v>459</v>
      </c>
      <c r="J191" s="66" t="b">
        <v>0</v>
      </c>
      <c r="K191" s="67" t="b">
        <v>0</v>
      </c>
      <c r="L191" s="68" t="b">
        <v>0</v>
      </c>
      <c r="M191" s="66" t="b">
        <v>0</v>
      </c>
      <c r="N191" s="67" t="b">
        <v>0</v>
      </c>
      <c r="O191" s="68" t="b">
        <v>0</v>
      </c>
      <c r="P191" s="66" t="b">
        <v>0</v>
      </c>
      <c r="Q191" s="67" t="b">
        <v>0</v>
      </c>
      <c r="R191" s="68" t="b">
        <v>0</v>
      </c>
      <c r="S191" s="8"/>
      <c r="T191" s="8"/>
      <c r="U191" s="8"/>
      <c r="V191" s="8"/>
      <c r="W191" s="8"/>
      <c r="X191" s="8"/>
      <c r="Y191" s="22"/>
    </row>
    <row r="192" spans="1:25" ht="13">
      <c r="A192" s="1" t="s">
        <v>5</v>
      </c>
      <c r="B192" s="1"/>
      <c r="C192" s="1" t="s">
        <v>931</v>
      </c>
      <c r="D192" s="1"/>
      <c r="E192" s="1">
        <v>34645148629</v>
      </c>
      <c r="F192" s="1" t="s">
        <v>111</v>
      </c>
      <c r="G192" s="73">
        <v>45864</v>
      </c>
      <c r="H192" s="4"/>
      <c r="I192" s="4"/>
      <c r="J192" s="66" t="b">
        <v>0</v>
      </c>
      <c r="K192" s="67" t="b">
        <v>0</v>
      </c>
      <c r="L192" s="68" t="b">
        <v>0</v>
      </c>
      <c r="M192" s="66" t="b">
        <v>0</v>
      </c>
      <c r="N192" s="67" t="b">
        <v>0</v>
      </c>
      <c r="O192" s="68" t="b">
        <v>0</v>
      </c>
      <c r="P192" s="66" t="b">
        <v>0</v>
      </c>
      <c r="Q192" s="67" t="b">
        <v>0</v>
      </c>
      <c r="R192" s="68" t="b">
        <v>0</v>
      </c>
      <c r="S192" s="8"/>
      <c r="T192" s="8"/>
      <c r="U192" s="8"/>
      <c r="V192" s="8"/>
      <c r="W192" s="8"/>
      <c r="X192" s="8"/>
      <c r="Y192" s="22"/>
    </row>
    <row r="193" spans="1:25" ht="13">
      <c r="A193" s="1" t="s">
        <v>5</v>
      </c>
      <c r="B193" s="1"/>
      <c r="C193" s="1" t="s">
        <v>932</v>
      </c>
      <c r="D193" s="1" t="s">
        <v>933</v>
      </c>
      <c r="E193" s="1">
        <v>34662956544</v>
      </c>
      <c r="F193" s="1" t="s">
        <v>172</v>
      </c>
      <c r="G193" s="73">
        <v>45866</v>
      </c>
      <c r="H193" s="4" t="s">
        <v>856</v>
      </c>
      <c r="I193" s="4" t="s">
        <v>459</v>
      </c>
      <c r="J193" s="66" t="b">
        <v>1</v>
      </c>
      <c r="K193" s="67" t="b">
        <v>1</v>
      </c>
      <c r="L193" s="68" t="b">
        <v>0</v>
      </c>
      <c r="M193" s="66" t="b">
        <v>0</v>
      </c>
      <c r="N193" s="67" t="b">
        <v>1</v>
      </c>
      <c r="O193" s="68" t="b">
        <v>0</v>
      </c>
      <c r="P193" s="66" t="b">
        <v>0</v>
      </c>
      <c r="Q193" s="67" t="b">
        <v>0</v>
      </c>
      <c r="R193" s="68" t="b">
        <v>0</v>
      </c>
      <c r="S193" s="8"/>
      <c r="T193" s="8"/>
      <c r="U193" s="8"/>
      <c r="V193" s="8"/>
      <c r="W193" s="8"/>
      <c r="X193" s="8"/>
      <c r="Y193" s="22"/>
    </row>
    <row r="194" spans="1:25" ht="13">
      <c r="A194" s="1" t="s">
        <v>5</v>
      </c>
      <c r="B194" s="1"/>
      <c r="C194" s="1" t="s">
        <v>934</v>
      </c>
      <c r="D194" s="1" t="s">
        <v>935</v>
      </c>
      <c r="E194" s="1">
        <v>34673292420</v>
      </c>
      <c r="F194" s="1" t="s">
        <v>52</v>
      </c>
      <c r="G194" s="73">
        <v>45866</v>
      </c>
      <c r="H194" s="4" t="s">
        <v>856</v>
      </c>
      <c r="I194" s="4" t="s">
        <v>448</v>
      </c>
      <c r="J194" s="66" t="b">
        <v>0</v>
      </c>
      <c r="K194" s="67" t="b">
        <v>0</v>
      </c>
      <c r="L194" s="68" t="b">
        <v>0</v>
      </c>
      <c r="M194" s="66" t="b">
        <v>0</v>
      </c>
      <c r="N194" s="67" t="b">
        <v>0</v>
      </c>
      <c r="O194" s="68" t="b">
        <v>0</v>
      </c>
      <c r="P194" s="66" t="b">
        <v>0</v>
      </c>
      <c r="Q194" s="67" t="b">
        <v>0</v>
      </c>
      <c r="R194" s="68" t="b">
        <v>0</v>
      </c>
      <c r="S194" s="8"/>
      <c r="T194" s="8"/>
      <c r="U194" s="8"/>
      <c r="V194" s="8"/>
      <c r="W194" s="8"/>
      <c r="X194" s="8"/>
      <c r="Y194" s="22"/>
    </row>
    <row r="195" spans="1:25" ht="13">
      <c r="A195" s="1" t="s">
        <v>5</v>
      </c>
      <c r="B195" s="1"/>
      <c r="C195" s="1" t="s">
        <v>936</v>
      </c>
      <c r="D195" s="1" t="s">
        <v>937</v>
      </c>
      <c r="E195" s="1">
        <v>34605113682</v>
      </c>
      <c r="F195" s="1" t="s">
        <v>938</v>
      </c>
      <c r="G195" s="73">
        <v>45867</v>
      </c>
      <c r="H195" s="4" t="s">
        <v>856</v>
      </c>
      <c r="I195" s="4" t="s">
        <v>459</v>
      </c>
      <c r="J195" s="66" t="b">
        <v>0</v>
      </c>
      <c r="K195" s="67" t="b">
        <v>0</v>
      </c>
      <c r="L195" s="68" t="b">
        <v>0</v>
      </c>
      <c r="M195" s="66" t="b">
        <v>0</v>
      </c>
      <c r="N195" s="67" t="b">
        <v>0</v>
      </c>
      <c r="O195" s="68" t="b">
        <v>0</v>
      </c>
      <c r="P195" s="66" t="b">
        <v>0</v>
      </c>
      <c r="Q195" s="67" t="b">
        <v>0</v>
      </c>
      <c r="R195" s="68" t="b">
        <v>0</v>
      </c>
      <c r="S195" s="8"/>
      <c r="T195" s="8"/>
      <c r="U195" s="8"/>
      <c r="V195" s="8"/>
      <c r="W195" s="8"/>
      <c r="X195" s="8"/>
      <c r="Y195" s="22"/>
    </row>
    <row r="196" spans="1:25" ht="13">
      <c r="A196" s="1" t="s">
        <v>5</v>
      </c>
      <c r="B196" s="1"/>
      <c r="C196" s="1" t="s">
        <v>939</v>
      </c>
      <c r="D196" s="1" t="s">
        <v>940</v>
      </c>
      <c r="E196" s="1">
        <v>34631155498</v>
      </c>
      <c r="F196" s="1" t="s">
        <v>50</v>
      </c>
      <c r="G196" s="73">
        <v>45867</v>
      </c>
      <c r="H196" s="4" t="s">
        <v>856</v>
      </c>
      <c r="I196" s="4" t="s">
        <v>941</v>
      </c>
      <c r="J196" s="66" t="b">
        <v>0</v>
      </c>
      <c r="K196" s="67" t="b">
        <v>1</v>
      </c>
      <c r="L196" s="68" t="b">
        <v>0</v>
      </c>
      <c r="M196" s="66" t="b">
        <v>1</v>
      </c>
      <c r="N196" s="67" t="b">
        <v>1</v>
      </c>
      <c r="O196" s="68" t="b">
        <v>0</v>
      </c>
      <c r="P196" s="66" t="b">
        <v>0</v>
      </c>
      <c r="Q196" s="67" t="b">
        <v>0</v>
      </c>
      <c r="R196" s="68" t="b">
        <v>0</v>
      </c>
      <c r="S196" s="8"/>
      <c r="T196" s="8"/>
      <c r="U196" s="8"/>
      <c r="V196" s="8"/>
      <c r="W196" s="8"/>
      <c r="X196" s="8"/>
      <c r="Y196" s="22"/>
    </row>
    <row r="197" spans="1:25" ht="13">
      <c r="A197" s="1" t="s">
        <v>5</v>
      </c>
      <c r="B197" s="1"/>
      <c r="C197" s="1" t="s">
        <v>942</v>
      </c>
      <c r="D197" s="1" t="s">
        <v>943</v>
      </c>
      <c r="E197" s="1">
        <v>34639294206</v>
      </c>
      <c r="F197" s="1" t="s">
        <v>944</v>
      </c>
      <c r="G197" s="73">
        <v>45867</v>
      </c>
      <c r="H197" s="4"/>
      <c r="I197" s="4" t="s">
        <v>459</v>
      </c>
      <c r="J197" s="66" t="b">
        <v>0</v>
      </c>
      <c r="K197" s="67" t="b">
        <v>0</v>
      </c>
      <c r="L197" s="68" t="b">
        <v>0</v>
      </c>
      <c r="M197" s="66" t="b">
        <v>0</v>
      </c>
      <c r="N197" s="67" t="b">
        <v>0</v>
      </c>
      <c r="O197" s="68" t="b">
        <v>0</v>
      </c>
      <c r="P197" s="66" t="b">
        <v>0</v>
      </c>
      <c r="Q197" s="67" t="b">
        <v>0</v>
      </c>
      <c r="R197" s="68" t="b">
        <v>0</v>
      </c>
      <c r="S197" s="4"/>
      <c r="T197" s="8"/>
      <c r="U197" s="8"/>
      <c r="V197" s="8"/>
      <c r="W197" s="8"/>
      <c r="X197" s="8"/>
      <c r="Y197" s="22"/>
    </row>
    <row r="198" spans="1:25" ht="13">
      <c r="A198" s="1" t="s">
        <v>5</v>
      </c>
      <c r="B198" s="1"/>
      <c r="C198" s="1" t="s">
        <v>6</v>
      </c>
      <c r="D198" s="1" t="s">
        <v>7</v>
      </c>
      <c r="E198" s="1">
        <v>34661465039</v>
      </c>
      <c r="F198" s="1" t="s">
        <v>8</v>
      </c>
      <c r="G198" s="73">
        <v>45867</v>
      </c>
      <c r="H198" s="4"/>
      <c r="I198" s="4" t="s">
        <v>448</v>
      </c>
      <c r="J198" s="66" t="b">
        <v>0</v>
      </c>
      <c r="K198" s="67" t="b">
        <v>0</v>
      </c>
      <c r="L198" s="68" t="b">
        <v>0</v>
      </c>
      <c r="M198" s="66" t="b">
        <v>0</v>
      </c>
      <c r="N198" s="67" t="b">
        <v>0</v>
      </c>
      <c r="O198" s="68" t="b">
        <v>0</v>
      </c>
      <c r="P198" s="66" t="b">
        <v>0</v>
      </c>
      <c r="Q198" s="67" t="b">
        <v>0</v>
      </c>
      <c r="R198" s="68" t="b">
        <v>0</v>
      </c>
      <c r="S198" s="4" t="s">
        <v>945</v>
      </c>
      <c r="T198" s="5">
        <v>45868</v>
      </c>
      <c r="U198" s="2">
        <v>299</v>
      </c>
      <c r="V198" s="4">
        <v>0</v>
      </c>
      <c r="W198" s="4">
        <v>2</v>
      </c>
      <c r="X198" s="8">
        <v>45689</v>
      </c>
      <c r="Y198" s="22"/>
    </row>
    <row r="199" spans="1:25" ht="13">
      <c r="A199" s="1" t="s">
        <v>5</v>
      </c>
      <c r="B199" s="1"/>
      <c r="C199" s="1" t="s">
        <v>946</v>
      </c>
      <c r="D199" s="1" t="s">
        <v>947</v>
      </c>
      <c r="E199" s="1">
        <v>34617178237</v>
      </c>
      <c r="F199" s="1" t="s">
        <v>111</v>
      </c>
      <c r="G199" s="73">
        <v>45867</v>
      </c>
      <c r="H199" s="4"/>
      <c r="I199" s="4" t="s">
        <v>459</v>
      </c>
      <c r="J199" s="66" t="b">
        <v>1</v>
      </c>
      <c r="K199" s="67" t="b">
        <v>0</v>
      </c>
      <c r="L199" s="68" t="b">
        <v>0</v>
      </c>
      <c r="M199" s="66" t="b">
        <v>0</v>
      </c>
      <c r="N199" s="67" t="b">
        <v>0</v>
      </c>
      <c r="O199" s="68" t="b">
        <v>0</v>
      </c>
      <c r="P199" s="66" t="b">
        <v>0</v>
      </c>
      <c r="Q199" s="67" t="b">
        <v>0</v>
      </c>
      <c r="R199" s="68" t="b">
        <v>0</v>
      </c>
      <c r="S199" s="4"/>
      <c r="T199" s="8"/>
      <c r="U199" s="8"/>
      <c r="V199" s="8"/>
      <c r="W199" s="8"/>
      <c r="X199" s="8"/>
      <c r="Y199" s="22"/>
    </row>
    <row r="200" spans="1:25" ht="13">
      <c r="A200" s="1" t="s">
        <v>5</v>
      </c>
      <c r="B200" s="1"/>
      <c r="C200" s="1" t="s">
        <v>948</v>
      </c>
      <c r="D200" s="1"/>
      <c r="E200" s="1">
        <v>573116196827</v>
      </c>
      <c r="F200" s="1" t="s">
        <v>69</v>
      </c>
      <c r="G200" s="73">
        <v>45867</v>
      </c>
      <c r="H200" s="4"/>
      <c r="I200" s="4" t="s">
        <v>459</v>
      </c>
      <c r="J200" s="66" t="b">
        <v>0</v>
      </c>
      <c r="K200" s="67" t="b">
        <v>0</v>
      </c>
      <c r="L200" s="68" t="b">
        <v>0</v>
      </c>
      <c r="M200" s="66" t="b">
        <v>0</v>
      </c>
      <c r="N200" s="67" t="b">
        <v>0</v>
      </c>
      <c r="O200" s="68" t="b">
        <v>0</v>
      </c>
      <c r="P200" s="66" t="b">
        <v>0</v>
      </c>
      <c r="Q200" s="67" t="b">
        <v>0</v>
      </c>
      <c r="R200" s="68" t="b">
        <v>0</v>
      </c>
      <c r="S200" s="4"/>
      <c r="T200" s="8"/>
      <c r="U200" s="8"/>
      <c r="V200" s="8"/>
      <c r="W200" s="8"/>
      <c r="X200" s="8"/>
      <c r="Y200" s="22"/>
    </row>
    <row r="201" spans="1:25" ht="13">
      <c r="A201" s="1" t="s">
        <v>5</v>
      </c>
      <c r="B201" s="1"/>
      <c r="C201" s="1" t="s">
        <v>949</v>
      </c>
      <c r="D201" s="80" t="s">
        <v>950</v>
      </c>
      <c r="E201" s="1">
        <v>528115008600</v>
      </c>
      <c r="F201" s="1" t="s">
        <v>27</v>
      </c>
      <c r="G201" s="73">
        <v>45867</v>
      </c>
      <c r="H201" s="4" t="s">
        <v>856</v>
      </c>
      <c r="I201" s="4" t="s">
        <v>459</v>
      </c>
      <c r="J201" s="66" t="b">
        <v>1</v>
      </c>
      <c r="K201" s="67" t="b">
        <v>1</v>
      </c>
      <c r="L201" s="68" t="b">
        <v>0</v>
      </c>
      <c r="M201" s="66" t="b">
        <v>0</v>
      </c>
      <c r="N201" s="67" t="b">
        <v>0</v>
      </c>
      <c r="O201" s="68" t="b">
        <v>0</v>
      </c>
      <c r="P201" s="66" t="b">
        <v>0</v>
      </c>
      <c r="Q201" s="67" t="b">
        <v>0</v>
      </c>
      <c r="R201" s="68" t="b">
        <v>0</v>
      </c>
      <c r="S201" s="4"/>
      <c r="T201" s="8"/>
      <c r="U201" s="8"/>
      <c r="V201" s="8"/>
      <c r="W201" s="8"/>
      <c r="X201" s="8"/>
      <c r="Y201" s="22"/>
    </row>
    <row r="202" spans="1:25" ht="13">
      <c r="A202" s="1" t="s">
        <v>5</v>
      </c>
      <c r="B202" s="1" t="s">
        <v>119</v>
      </c>
      <c r="C202" s="1" t="s">
        <v>951</v>
      </c>
      <c r="D202" s="1" t="s">
        <v>952</v>
      </c>
      <c r="E202" s="1">
        <v>34654175603</v>
      </c>
      <c r="F202" s="1" t="s">
        <v>27</v>
      </c>
      <c r="G202" s="73">
        <v>45868</v>
      </c>
      <c r="H202" s="4" t="s">
        <v>856</v>
      </c>
      <c r="I202" s="4" t="s">
        <v>459</v>
      </c>
      <c r="J202" s="66" t="b">
        <v>0</v>
      </c>
      <c r="K202" s="67" t="b">
        <v>1</v>
      </c>
      <c r="L202" s="68" t="b">
        <v>0</v>
      </c>
      <c r="M202" s="66" t="b">
        <v>0</v>
      </c>
      <c r="N202" s="67" t="b">
        <v>0</v>
      </c>
      <c r="O202" s="68" t="b">
        <v>0</v>
      </c>
      <c r="P202" s="66" t="b">
        <v>0</v>
      </c>
      <c r="Q202" s="67" t="b">
        <v>0</v>
      </c>
      <c r="R202" s="68" t="b">
        <v>0</v>
      </c>
      <c r="S202" s="4"/>
      <c r="T202" s="8"/>
      <c r="U202" s="8"/>
      <c r="V202" s="8"/>
      <c r="W202" s="8"/>
      <c r="X202" s="8"/>
      <c r="Y202" s="22"/>
    </row>
    <row r="203" spans="1:25" ht="13">
      <c r="A203" s="1" t="s">
        <v>5</v>
      </c>
      <c r="B203" s="1"/>
      <c r="C203" s="1" t="s">
        <v>953</v>
      </c>
      <c r="D203" s="1" t="s">
        <v>954</v>
      </c>
      <c r="E203" s="1">
        <v>584121342230</v>
      </c>
      <c r="F203" s="1" t="s">
        <v>52</v>
      </c>
      <c r="G203" s="73">
        <v>45868</v>
      </c>
      <c r="H203" s="4" t="s">
        <v>856</v>
      </c>
      <c r="I203" s="4" t="s">
        <v>459</v>
      </c>
      <c r="J203" s="66" t="b">
        <v>1</v>
      </c>
      <c r="K203" s="67" t="b">
        <v>1</v>
      </c>
      <c r="L203" s="68" t="b">
        <v>0</v>
      </c>
      <c r="M203" s="66" t="b">
        <v>0</v>
      </c>
      <c r="N203" s="67" t="b">
        <v>0</v>
      </c>
      <c r="O203" s="68" t="b">
        <v>0</v>
      </c>
      <c r="P203" s="66" t="b">
        <v>0</v>
      </c>
      <c r="Q203" s="67" t="b">
        <v>0</v>
      </c>
      <c r="R203" s="68" t="b">
        <v>0</v>
      </c>
      <c r="S203" s="4"/>
      <c r="T203" s="8"/>
      <c r="U203" s="8"/>
      <c r="V203" s="8"/>
      <c r="W203" s="8"/>
      <c r="X203" s="8"/>
      <c r="Y203" s="22"/>
    </row>
    <row r="204" spans="1:25" ht="13">
      <c r="A204" s="1" t="s">
        <v>5</v>
      </c>
      <c r="B204" s="1"/>
      <c r="C204" s="1" t="s">
        <v>955</v>
      </c>
      <c r="E204" s="1">
        <v>5491131517326</v>
      </c>
      <c r="F204" s="1" t="s">
        <v>69</v>
      </c>
      <c r="G204" s="73">
        <v>45868</v>
      </c>
      <c r="H204" s="4" t="s">
        <v>956</v>
      </c>
      <c r="I204" s="4" t="s">
        <v>886</v>
      </c>
      <c r="J204" s="66" t="b">
        <v>0</v>
      </c>
      <c r="K204" s="67" t="b">
        <v>1</v>
      </c>
      <c r="L204" s="68" t="b">
        <v>0</v>
      </c>
      <c r="M204" s="66" t="b">
        <v>0</v>
      </c>
      <c r="N204" s="67" t="b">
        <v>0</v>
      </c>
      <c r="O204" s="68" t="b">
        <v>0</v>
      </c>
      <c r="P204" s="66" t="b">
        <v>0</v>
      </c>
      <c r="Q204" s="67" t="b">
        <v>0</v>
      </c>
      <c r="R204" s="68" t="b">
        <v>0</v>
      </c>
      <c r="S204" s="8"/>
    </row>
    <row r="205" spans="1:25" ht="13">
      <c r="A205" s="1" t="s">
        <v>5</v>
      </c>
      <c r="B205" s="1"/>
      <c r="C205" s="1" t="s">
        <v>38</v>
      </c>
      <c r="D205" s="1" t="s">
        <v>39</v>
      </c>
      <c r="E205" s="1">
        <v>526641117804</v>
      </c>
      <c r="F205" s="1" t="s">
        <v>40</v>
      </c>
      <c r="G205" s="73">
        <v>45870</v>
      </c>
      <c r="H205" s="4" t="s">
        <v>856</v>
      </c>
      <c r="I205" s="4" t="s">
        <v>448</v>
      </c>
      <c r="J205" s="66" t="b">
        <v>0</v>
      </c>
      <c r="K205" s="67" t="b">
        <v>1</v>
      </c>
      <c r="L205" s="68" t="b">
        <v>0</v>
      </c>
      <c r="M205" s="66" t="b">
        <v>0</v>
      </c>
      <c r="N205" s="67" t="b">
        <v>0</v>
      </c>
      <c r="O205" s="68" t="b">
        <v>0</v>
      </c>
      <c r="P205" s="66" t="b">
        <v>0</v>
      </c>
      <c r="Q205" s="67" t="b">
        <v>0</v>
      </c>
      <c r="R205" s="68" t="b">
        <v>0</v>
      </c>
      <c r="S205" s="4" t="s">
        <v>945</v>
      </c>
      <c r="T205" s="5">
        <v>45882</v>
      </c>
      <c r="U205" s="2">
        <v>203</v>
      </c>
      <c r="V205" s="7">
        <v>0.3</v>
      </c>
      <c r="W205" s="4">
        <v>1</v>
      </c>
      <c r="X205" s="8">
        <v>45658</v>
      </c>
    </row>
    <row r="206" spans="1:25" ht="13">
      <c r="A206" s="1" t="s">
        <v>5</v>
      </c>
      <c r="B206" s="1"/>
      <c r="C206" s="1" t="s">
        <v>957</v>
      </c>
      <c r="D206" s="1" t="s">
        <v>958</v>
      </c>
      <c r="E206" s="1">
        <f>352621764659</f>
        <v>352621764659</v>
      </c>
      <c r="F206" s="1" t="s">
        <v>97</v>
      </c>
      <c r="G206" s="73">
        <v>45871</v>
      </c>
      <c r="H206" s="4" t="s">
        <v>856</v>
      </c>
      <c r="I206" s="4" t="s">
        <v>941</v>
      </c>
      <c r="J206" s="66" t="b">
        <v>1</v>
      </c>
      <c r="K206" s="67" t="b">
        <v>1</v>
      </c>
      <c r="L206" s="68" t="b">
        <v>0</v>
      </c>
      <c r="M206" s="66" t="b">
        <v>0</v>
      </c>
      <c r="N206" s="67" t="b">
        <v>0</v>
      </c>
      <c r="O206" s="68" t="b">
        <v>0</v>
      </c>
      <c r="P206" s="66" t="b">
        <v>0</v>
      </c>
      <c r="Q206" s="67" t="b">
        <v>0</v>
      </c>
      <c r="R206" s="68" t="b">
        <v>0</v>
      </c>
      <c r="S206" s="8"/>
    </row>
    <row r="207" spans="1:25" ht="13">
      <c r="A207" s="1" t="s">
        <v>5</v>
      </c>
      <c r="B207" s="1"/>
      <c r="C207" s="1" t="s">
        <v>41</v>
      </c>
      <c r="D207" s="1" t="s">
        <v>42</v>
      </c>
      <c r="E207" s="1">
        <v>34619033638</v>
      </c>
      <c r="F207" s="1" t="s">
        <v>43</v>
      </c>
      <c r="G207" s="73">
        <v>45871</v>
      </c>
      <c r="H207" s="4" t="s">
        <v>856</v>
      </c>
      <c r="I207" s="4" t="s">
        <v>448</v>
      </c>
      <c r="J207" s="66" t="b">
        <v>1</v>
      </c>
      <c r="K207" s="67" t="b">
        <v>1</v>
      </c>
      <c r="L207" s="68" t="b">
        <v>0</v>
      </c>
      <c r="M207" s="66" t="b">
        <v>0</v>
      </c>
      <c r="N207" s="67" t="b">
        <v>0</v>
      </c>
      <c r="O207" s="68" t="b">
        <v>0</v>
      </c>
      <c r="P207" s="66" t="b">
        <v>0</v>
      </c>
      <c r="Q207" s="67" t="b">
        <v>0</v>
      </c>
      <c r="R207" s="68" t="b">
        <v>0</v>
      </c>
      <c r="S207" s="4" t="s">
        <v>945</v>
      </c>
      <c r="T207" s="5">
        <v>45883</v>
      </c>
      <c r="U207" s="2">
        <v>203</v>
      </c>
      <c r="V207" s="7">
        <v>0.3</v>
      </c>
      <c r="W207" s="4">
        <v>1</v>
      </c>
      <c r="X207" s="8">
        <v>45658</v>
      </c>
    </row>
    <row r="208" spans="1:25" ht="13">
      <c r="A208" s="1" t="s">
        <v>5</v>
      </c>
      <c r="B208" s="1"/>
      <c r="C208" s="1" t="s">
        <v>22</v>
      </c>
      <c r="D208" s="1" t="s">
        <v>23</v>
      </c>
      <c r="E208" s="1">
        <v>34644467293</v>
      </c>
      <c r="F208" s="1" t="s">
        <v>24</v>
      </c>
      <c r="G208" s="73">
        <v>45871</v>
      </c>
      <c r="H208" s="4" t="s">
        <v>856</v>
      </c>
      <c r="I208" s="4" t="s">
        <v>448</v>
      </c>
      <c r="J208" s="66" t="b">
        <v>0</v>
      </c>
      <c r="K208" s="67" t="b">
        <v>1</v>
      </c>
      <c r="L208" s="68" t="b">
        <v>0</v>
      </c>
      <c r="M208" s="66" t="b">
        <v>0</v>
      </c>
      <c r="N208" s="67" t="b">
        <v>0</v>
      </c>
      <c r="O208" s="68" t="b">
        <v>0</v>
      </c>
      <c r="P208" s="66" t="b">
        <v>0</v>
      </c>
      <c r="Q208" s="67" t="b">
        <v>0</v>
      </c>
      <c r="R208" s="68" t="b">
        <v>0</v>
      </c>
      <c r="S208" s="4" t="s">
        <v>945</v>
      </c>
      <c r="T208" s="5">
        <v>45874</v>
      </c>
      <c r="U208" s="2">
        <v>203</v>
      </c>
      <c r="V208" s="7">
        <v>0.3</v>
      </c>
      <c r="W208" s="4">
        <v>1</v>
      </c>
      <c r="X208" s="8">
        <v>45658</v>
      </c>
    </row>
    <row r="209" spans="1:24" ht="13">
      <c r="A209" s="1" t="s">
        <v>5</v>
      </c>
      <c r="B209" s="1"/>
      <c r="C209" s="1" t="s">
        <v>28</v>
      </c>
      <c r="D209" s="1" t="s">
        <v>29</v>
      </c>
      <c r="E209" s="1">
        <v>5215611722698</v>
      </c>
      <c r="F209" s="1" t="s">
        <v>30</v>
      </c>
      <c r="G209" s="73">
        <v>45871</v>
      </c>
      <c r="H209" s="4" t="s">
        <v>956</v>
      </c>
      <c r="I209" s="4" t="s">
        <v>448</v>
      </c>
      <c r="J209" s="66" t="b">
        <v>0</v>
      </c>
      <c r="K209" s="67" t="b">
        <v>1</v>
      </c>
      <c r="L209" s="68" t="b">
        <v>0</v>
      </c>
      <c r="M209" s="66" t="b">
        <v>0</v>
      </c>
      <c r="N209" s="67" t="b">
        <v>0</v>
      </c>
      <c r="O209" s="68" t="b">
        <v>0</v>
      </c>
      <c r="P209" s="66" t="b">
        <v>0</v>
      </c>
      <c r="Q209" s="67" t="b">
        <v>0</v>
      </c>
      <c r="R209" s="68" t="b">
        <v>0</v>
      </c>
      <c r="S209" s="4" t="s">
        <v>945</v>
      </c>
      <c r="T209" s="5">
        <v>45876</v>
      </c>
      <c r="U209" s="10">
        <v>184.96</v>
      </c>
      <c r="V209" s="7">
        <v>0.3</v>
      </c>
      <c r="W209" s="4">
        <v>1</v>
      </c>
      <c r="X209" s="8">
        <v>45658</v>
      </c>
    </row>
    <row r="210" spans="1:24" ht="13">
      <c r="A210" s="1" t="s">
        <v>5</v>
      </c>
      <c r="B210" s="1" t="s">
        <v>119</v>
      </c>
      <c r="C210" s="1" t="s">
        <v>25</v>
      </c>
      <c r="D210" s="1" t="s">
        <v>26</v>
      </c>
      <c r="E210" s="1">
        <v>34685426646</v>
      </c>
      <c r="F210" s="1" t="s">
        <v>27</v>
      </c>
      <c r="G210" s="73">
        <v>45872</v>
      </c>
      <c r="H210" s="4" t="s">
        <v>856</v>
      </c>
      <c r="I210" s="4" t="s">
        <v>448</v>
      </c>
      <c r="J210" s="66" t="b">
        <v>1</v>
      </c>
      <c r="K210" s="67" t="b">
        <v>1</v>
      </c>
      <c r="L210" s="68" t="b">
        <v>0</v>
      </c>
      <c r="M210" s="66" t="b">
        <v>0</v>
      </c>
      <c r="N210" s="67" t="b">
        <v>0</v>
      </c>
      <c r="O210" s="68" t="b">
        <v>0</v>
      </c>
      <c r="P210" s="66" t="b">
        <v>0</v>
      </c>
      <c r="Q210" s="67" t="b">
        <v>0</v>
      </c>
      <c r="R210" s="68" t="b">
        <v>0</v>
      </c>
      <c r="S210" s="4" t="s">
        <v>945</v>
      </c>
      <c r="T210" s="5">
        <v>45875</v>
      </c>
      <c r="U210" s="2">
        <v>175</v>
      </c>
      <c r="V210" s="7">
        <v>0.5</v>
      </c>
      <c r="W210" s="4">
        <v>1</v>
      </c>
      <c r="X210" s="8">
        <v>45658</v>
      </c>
    </row>
    <row r="211" spans="1:24" ht="13">
      <c r="A211" s="1" t="s">
        <v>5</v>
      </c>
      <c r="B211" s="1"/>
      <c r="C211" s="1" t="s">
        <v>959</v>
      </c>
      <c r="D211" s="1" t="s">
        <v>960</v>
      </c>
      <c r="E211" s="1">
        <v>525520398776</v>
      </c>
      <c r="F211" s="1" t="s">
        <v>27</v>
      </c>
      <c r="G211" s="73">
        <v>45872</v>
      </c>
      <c r="H211" s="4" t="s">
        <v>856</v>
      </c>
      <c r="I211" s="4" t="s">
        <v>459</v>
      </c>
      <c r="J211" s="68" t="b">
        <v>1</v>
      </c>
      <c r="K211" s="67" t="b">
        <v>1</v>
      </c>
      <c r="L211" s="68" t="b">
        <v>0</v>
      </c>
      <c r="M211" s="66" t="b">
        <v>0</v>
      </c>
      <c r="N211" s="67" t="b">
        <v>1</v>
      </c>
      <c r="O211" s="68" t="b">
        <v>0</v>
      </c>
      <c r="P211" s="66" t="b">
        <v>0</v>
      </c>
      <c r="Q211" s="67" t="b">
        <v>0</v>
      </c>
      <c r="R211" s="68" t="b">
        <v>0</v>
      </c>
      <c r="S211" s="8"/>
    </row>
    <row r="212" spans="1:24" ht="13">
      <c r="A212" s="1" t="s">
        <v>5</v>
      </c>
      <c r="B212" s="1"/>
      <c r="C212" s="1" t="s">
        <v>961</v>
      </c>
      <c r="D212" s="1" t="s">
        <v>962</v>
      </c>
      <c r="E212" s="1">
        <v>56961498626</v>
      </c>
      <c r="F212" s="1" t="s">
        <v>71</v>
      </c>
      <c r="G212" s="73">
        <v>45873</v>
      </c>
      <c r="H212" s="4" t="s">
        <v>856</v>
      </c>
      <c r="I212" s="4" t="s">
        <v>459</v>
      </c>
      <c r="J212" s="68" t="b">
        <v>1</v>
      </c>
      <c r="K212" s="67" t="b">
        <v>1</v>
      </c>
      <c r="L212" s="68" t="b">
        <v>0</v>
      </c>
      <c r="M212" s="66" t="b">
        <v>0</v>
      </c>
      <c r="N212" s="67" t="b">
        <v>1</v>
      </c>
      <c r="O212" s="68" t="b">
        <v>0</v>
      </c>
      <c r="P212" s="66" t="b">
        <v>0</v>
      </c>
      <c r="Q212" s="67" t="b">
        <v>0</v>
      </c>
      <c r="R212" s="68" t="b">
        <v>0</v>
      </c>
      <c r="S212" s="8"/>
    </row>
    <row r="213" spans="1:24" ht="13">
      <c r="A213" s="1" t="s">
        <v>5</v>
      </c>
      <c r="B213" s="1"/>
      <c r="C213" s="1" t="s">
        <v>19</v>
      </c>
      <c r="D213" s="1" t="s">
        <v>20</v>
      </c>
      <c r="E213" s="1">
        <v>4915755256337</v>
      </c>
      <c r="F213" s="1" t="s">
        <v>8</v>
      </c>
      <c r="G213" s="73">
        <v>45873</v>
      </c>
      <c r="H213" s="4" t="s">
        <v>856</v>
      </c>
      <c r="I213" s="4" t="s">
        <v>448</v>
      </c>
      <c r="J213" s="66" t="b">
        <v>0</v>
      </c>
      <c r="K213" s="67" t="b">
        <v>1</v>
      </c>
      <c r="L213" s="68" t="b">
        <v>0</v>
      </c>
      <c r="M213" s="66" t="b">
        <v>0</v>
      </c>
      <c r="N213" s="67" t="b">
        <v>0</v>
      </c>
      <c r="O213" s="68" t="b">
        <v>0</v>
      </c>
      <c r="P213" s="66" t="b">
        <v>0</v>
      </c>
      <c r="Q213" s="67" t="b">
        <v>0</v>
      </c>
      <c r="R213" s="68" t="b">
        <v>0</v>
      </c>
      <c r="S213" s="4" t="s">
        <v>945</v>
      </c>
      <c r="T213" s="5">
        <v>45873</v>
      </c>
      <c r="U213" s="2">
        <v>209</v>
      </c>
      <c r="V213" s="7">
        <v>0.3</v>
      </c>
      <c r="W213" s="4">
        <v>1</v>
      </c>
      <c r="X213" s="8">
        <v>45658</v>
      </c>
    </row>
    <row r="214" spans="1:24" ht="13">
      <c r="A214" s="1" t="s">
        <v>5</v>
      </c>
      <c r="B214" s="1"/>
      <c r="C214" s="1" t="s">
        <v>963</v>
      </c>
      <c r="D214" s="1" t="s">
        <v>964</v>
      </c>
      <c r="E214" s="1">
        <v>34644153768</v>
      </c>
      <c r="F214" s="1" t="s">
        <v>307</v>
      </c>
      <c r="G214" s="73">
        <v>45873</v>
      </c>
      <c r="H214" s="4" t="s">
        <v>856</v>
      </c>
      <c r="I214" s="4" t="s">
        <v>459</v>
      </c>
      <c r="J214" s="68" t="b">
        <v>1</v>
      </c>
      <c r="K214" s="67" t="b">
        <v>0</v>
      </c>
      <c r="L214" s="68" t="b">
        <v>0</v>
      </c>
      <c r="M214" s="66" t="b">
        <v>0</v>
      </c>
      <c r="N214" s="67" t="b">
        <v>0</v>
      </c>
      <c r="O214" s="68" t="b">
        <v>0</v>
      </c>
      <c r="P214" s="66" t="b">
        <v>0</v>
      </c>
      <c r="Q214" s="67" t="b">
        <v>0</v>
      </c>
      <c r="R214" s="68" t="b">
        <v>0</v>
      </c>
      <c r="S214" s="8"/>
    </row>
    <row r="215" spans="1:24" ht="13">
      <c r="A215" s="1" t="s">
        <v>5</v>
      </c>
      <c r="B215" s="1"/>
      <c r="C215" s="1" t="s">
        <v>965</v>
      </c>
      <c r="D215" s="1"/>
      <c r="E215" s="1">
        <v>5491163580364</v>
      </c>
      <c r="F215" s="1" t="s">
        <v>454</v>
      </c>
      <c r="G215" s="73">
        <v>45873</v>
      </c>
      <c r="H215" s="4" t="s">
        <v>956</v>
      </c>
      <c r="I215" s="4" t="s">
        <v>459</v>
      </c>
      <c r="J215" s="66" t="b">
        <v>1</v>
      </c>
      <c r="K215" s="67" t="b">
        <v>1</v>
      </c>
      <c r="L215" s="68" t="b">
        <v>0</v>
      </c>
      <c r="M215" s="66" t="b">
        <v>0</v>
      </c>
      <c r="N215" s="67" t="b">
        <v>0</v>
      </c>
      <c r="O215" s="68" t="b">
        <v>0</v>
      </c>
      <c r="P215" s="66" t="b">
        <v>0</v>
      </c>
      <c r="Q215" s="67" t="b">
        <v>0</v>
      </c>
      <c r="R215" s="68" t="b">
        <v>0</v>
      </c>
      <c r="S215" s="8"/>
    </row>
    <row r="216" spans="1:24" ht="13">
      <c r="A216" s="1" t="s">
        <v>5</v>
      </c>
      <c r="B216" s="1"/>
      <c r="C216" s="1" t="s">
        <v>966</v>
      </c>
      <c r="D216" s="1" t="s">
        <v>967</v>
      </c>
      <c r="E216" s="1">
        <v>34600273619</v>
      </c>
      <c r="F216" s="1" t="s">
        <v>343</v>
      </c>
      <c r="G216" s="73">
        <v>45873</v>
      </c>
      <c r="H216" s="4" t="s">
        <v>856</v>
      </c>
      <c r="I216" s="4" t="s">
        <v>459</v>
      </c>
      <c r="J216" s="66" t="b">
        <v>1</v>
      </c>
      <c r="K216" s="67" t="b">
        <v>1</v>
      </c>
      <c r="L216" s="68" t="b">
        <v>0</v>
      </c>
      <c r="M216" s="66" t="b">
        <v>0</v>
      </c>
      <c r="N216" s="67" t="b">
        <v>0</v>
      </c>
      <c r="O216" s="68" t="b">
        <v>0</v>
      </c>
      <c r="P216" s="66" t="b">
        <v>0</v>
      </c>
      <c r="Q216" s="67" t="b">
        <v>0</v>
      </c>
      <c r="R216" s="68" t="b">
        <v>0</v>
      </c>
      <c r="S216" s="8"/>
    </row>
    <row r="217" spans="1:24" ht="13">
      <c r="A217" s="1" t="s">
        <v>381</v>
      </c>
      <c r="B217" s="1"/>
      <c r="C217" s="1" t="s">
        <v>968</v>
      </c>
      <c r="D217" s="1" t="s">
        <v>969</v>
      </c>
      <c r="E217" s="1">
        <v>34696845919</v>
      </c>
      <c r="F217" s="1" t="s">
        <v>970</v>
      </c>
      <c r="G217" s="73">
        <v>45874</v>
      </c>
      <c r="H217" s="4" t="s">
        <v>856</v>
      </c>
      <c r="I217" s="4" t="s">
        <v>459</v>
      </c>
      <c r="J217" s="66" t="b">
        <v>0</v>
      </c>
      <c r="K217" s="67" t="b">
        <v>1</v>
      </c>
      <c r="L217" s="68" t="b">
        <v>0</v>
      </c>
      <c r="M217" s="66" t="b">
        <v>0</v>
      </c>
      <c r="N217" s="67" t="b">
        <v>0</v>
      </c>
      <c r="O217" s="68" t="b">
        <v>0</v>
      </c>
      <c r="P217" s="66" t="b">
        <v>0</v>
      </c>
      <c r="Q217" s="67" t="b">
        <v>0</v>
      </c>
      <c r="R217" s="68" t="b">
        <v>0</v>
      </c>
      <c r="S217" s="8"/>
    </row>
    <row r="218" spans="1:24" ht="13">
      <c r="A218" s="1" t="s">
        <v>381</v>
      </c>
      <c r="B218" s="1"/>
      <c r="C218" s="1" t="s">
        <v>971</v>
      </c>
      <c r="D218" s="1" t="s">
        <v>972</v>
      </c>
      <c r="E218" s="1">
        <v>34697669248</v>
      </c>
      <c r="F218" s="1" t="s">
        <v>973</v>
      </c>
      <c r="G218" s="73">
        <v>45874</v>
      </c>
      <c r="H218" s="4" t="s">
        <v>856</v>
      </c>
      <c r="I218" s="4" t="s">
        <v>974</v>
      </c>
      <c r="J218" s="66" t="b">
        <v>1</v>
      </c>
      <c r="K218" s="67" t="b">
        <v>1</v>
      </c>
      <c r="L218" s="68" t="b">
        <v>0</v>
      </c>
      <c r="M218" s="66" t="b">
        <v>0</v>
      </c>
      <c r="N218" s="67" t="b">
        <v>1</v>
      </c>
      <c r="O218" s="68" t="b">
        <v>0</v>
      </c>
      <c r="P218" s="66" t="b">
        <v>0</v>
      </c>
      <c r="Q218" s="67" t="b">
        <v>0</v>
      </c>
      <c r="R218" s="68" t="b">
        <v>0</v>
      </c>
      <c r="S218" s="8"/>
    </row>
    <row r="219" spans="1:24" ht="13">
      <c r="A219" s="1" t="s">
        <v>381</v>
      </c>
      <c r="B219" s="1"/>
      <c r="C219" s="1" t="s">
        <v>975</v>
      </c>
      <c r="D219" s="1" t="s">
        <v>976</v>
      </c>
      <c r="E219" s="1">
        <v>573007715271</v>
      </c>
      <c r="F219" s="1" t="s">
        <v>977</v>
      </c>
      <c r="G219" s="73">
        <v>45874</v>
      </c>
      <c r="H219" s="4" t="s">
        <v>856</v>
      </c>
      <c r="I219" s="4" t="s">
        <v>459</v>
      </c>
      <c r="J219" s="68" t="b">
        <v>1</v>
      </c>
      <c r="K219" s="67" t="b">
        <v>1</v>
      </c>
      <c r="L219" s="68" t="b">
        <v>0</v>
      </c>
      <c r="M219" s="66" t="b">
        <v>0</v>
      </c>
      <c r="N219" s="67" t="b">
        <v>0</v>
      </c>
      <c r="O219" s="68" t="b">
        <v>0</v>
      </c>
      <c r="P219" s="66" t="b">
        <v>0</v>
      </c>
      <c r="Q219" s="67" t="b">
        <v>0</v>
      </c>
      <c r="R219" s="68" t="b">
        <v>0</v>
      </c>
      <c r="S219" s="8"/>
    </row>
    <row r="220" spans="1:24" ht="13">
      <c r="A220" s="1" t="s">
        <v>381</v>
      </c>
      <c r="B220" s="1"/>
      <c r="C220" s="1" t="s">
        <v>978</v>
      </c>
      <c r="D220" s="1"/>
      <c r="E220" s="1">
        <v>584242808804</v>
      </c>
      <c r="G220" s="73">
        <v>45874</v>
      </c>
      <c r="H220" s="4" t="s">
        <v>979</v>
      </c>
      <c r="I220" s="4" t="s">
        <v>980</v>
      </c>
      <c r="J220" s="66" t="b">
        <v>1</v>
      </c>
      <c r="K220" s="67" t="b">
        <v>1</v>
      </c>
      <c r="L220" s="68" t="b">
        <v>0</v>
      </c>
      <c r="M220" s="66" t="b">
        <v>0</v>
      </c>
      <c r="N220" s="67" t="b">
        <v>0</v>
      </c>
      <c r="O220" s="68" t="b">
        <v>0</v>
      </c>
      <c r="P220" s="66" t="b">
        <v>0</v>
      </c>
      <c r="Q220" s="67" t="b">
        <v>0</v>
      </c>
      <c r="R220" s="68" t="b">
        <v>0</v>
      </c>
      <c r="S220" s="8"/>
    </row>
    <row r="221" spans="1:24" ht="13">
      <c r="A221" s="1" t="s">
        <v>5</v>
      </c>
      <c r="B221" s="4"/>
      <c r="C221" s="4" t="s">
        <v>981</v>
      </c>
      <c r="D221" s="1"/>
      <c r="E221" s="1">
        <v>17079759915</v>
      </c>
      <c r="F221" s="1" t="s">
        <v>140</v>
      </c>
      <c r="G221" s="73">
        <v>45874</v>
      </c>
      <c r="H221" s="4" t="s">
        <v>956</v>
      </c>
      <c r="I221" s="4" t="s">
        <v>459</v>
      </c>
      <c r="J221" s="66" t="b">
        <v>0</v>
      </c>
      <c r="K221" s="67" t="b">
        <v>1</v>
      </c>
      <c r="L221" s="68" t="b">
        <v>0</v>
      </c>
      <c r="M221" s="66" t="b">
        <v>0</v>
      </c>
      <c r="N221" s="67" t="b">
        <v>0</v>
      </c>
      <c r="O221" s="68" t="b">
        <v>0</v>
      </c>
      <c r="P221" s="66" t="b">
        <v>0</v>
      </c>
      <c r="Q221" s="67" t="b">
        <v>0</v>
      </c>
      <c r="R221" s="68" t="b">
        <v>0</v>
      </c>
      <c r="S221" s="8"/>
    </row>
    <row r="222" spans="1:24" ht="13">
      <c r="A222" s="1" t="s">
        <v>5</v>
      </c>
      <c r="B222" s="1"/>
      <c r="C222" s="1" t="s">
        <v>982</v>
      </c>
      <c r="D222" s="1" t="s">
        <v>983</v>
      </c>
      <c r="E222" s="1">
        <v>61484186822</v>
      </c>
      <c r="F222" s="1" t="s">
        <v>984</v>
      </c>
      <c r="G222" s="73">
        <v>45876</v>
      </c>
      <c r="H222" s="4" t="s">
        <v>856</v>
      </c>
      <c r="I222" s="4" t="s">
        <v>941</v>
      </c>
      <c r="J222" s="66" t="b">
        <v>0</v>
      </c>
      <c r="K222" s="67" t="b">
        <v>1</v>
      </c>
      <c r="L222" s="68" t="b">
        <v>0</v>
      </c>
      <c r="M222" s="66" t="b">
        <v>0</v>
      </c>
      <c r="N222" s="67" t="b">
        <v>0</v>
      </c>
      <c r="O222" s="68" t="b">
        <v>0</v>
      </c>
      <c r="P222" s="66" t="b">
        <v>0</v>
      </c>
      <c r="Q222" s="67" t="b">
        <v>0</v>
      </c>
      <c r="R222" s="68" t="b">
        <v>0</v>
      </c>
      <c r="S222" s="8"/>
    </row>
    <row r="223" spans="1:24" ht="13">
      <c r="A223" s="1" t="s">
        <v>5</v>
      </c>
      <c r="B223" s="11"/>
      <c r="C223" s="11" t="s">
        <v>31</v>
      </c>
      <c r="D223" s="11" t="s">
        <v>32</v>
      </c>
      <c r="F223" s="12" t="s">
        <v>33</v>
      </c>
      <c r="G223" s="73">
        <v>45876</v>
      </c>
      <c r="H223" s="4" t="s">
        <v>856</v>
      </c>
      <c r="I223" s="4" t="s">
        <v>448</v>
      </c>
      <c r="J223" s="66" t="b">
        <v>0</v>
      </c>
      <c r="K223" s="67" t="b">
        <v>0</v>
      </c>
      <c r="L223" s="68" t="b">
        <v>0</v>
      </c>
      <c r="M223" s="66" t="b">
        <v>0</v>
      </c>
      <c r="N223" s="67" t="b">
        <v>0</v>
      </c>
      <c r="O223" s="68" t="b">
        <v>0</v>
      </c>
      <c r="P223" s="66" t="b">
        <v>0</v>
      </c>
      <c r="Q223" s="67" t="b">
        <v>0</v>
      </c>
      <c r="R223" s="68" t="b">
        <v>0</v>
      </c>
      <c r="S223" s="4" t="s">
        <v>34</v>
      </c>
      <c r="T223" s="5">
        <v>45877</v>
      </c>
      <c r="U223" s="2">
        <v>110</v>
      </c>
      <c r="V223" s="4">
        <v>0</v>
      </c>
      <c r="W223" s="4">
        <v>1</v>
      </c>
      <c r="X223" s="8">
        <v>45658</v>
      </c>
    </row>
    <row r="224" spans="1:24" ht="13">
      <c r="A224" s="1" t="s">
        <v>5</v>
      </c>
      <c r="B224" s="1"/>
      <c r="C224" s="1" t="s">
        <v>985</v>
      </c>
      <c r="D224" s="1" t="s">
        <v>45</v>
      </c>
      <c r="E224" s="13">
        <v>5214423833051</v>
      </c>
      <c r="F224" s="1" t="s">
        <v>40</v>
      </c>
      <c r="G224" s="73">
        <v>45876</v>
      </c>
      <c r="H224" s="4" t="s">
        <v>956</v>
      </c>
      <c r="I224" s="4" t="s">
        <v>448</v>
      </c>
      <c r="J224" s="66" t="b">
        <v>1</v>
      </c>
      <c r="K224" s="67" t="b">
        <v>1</v>
      </c>
      <c r="L224" s="68" t="b">
        <v>0</v>
      </c>
      <c r="M224" s="66" t="b">
        <v>0</v>
      </c>
      <c r="N224" s="67" t="b">
        <v>1</v>
      </c>
      <c r="O224" s="68" t="b">
        <v>0</v>
      </c>
      <c r="P224" s="66" t="b">
        <v>0</v>
      </c>
      <c r="Q224" s="67" t="b">
        <v>1</v>
      </c>
      <c r="R224" s="68" t="b">
        <v>0</v>
      </c>
      <c r="S224" s="8"/>
      <c r="T224" s="5">
        <v>45884</v>
      </c>
      <c r="U224" s="2">
        <v>170.81</v>
      </c>
      <c r="V224" s="7">
        <v>0.4</v>
      </c>
      <c r="W224" s="4">
        <v>1</v>
      </c>
      <c r="X224" s="8">
        <v>45658</v>
      </c>
    </row>
    <row r="225" spans="1:24" ht="13">
      <c r="A225" s="1" t="s">
        <v>5</v>
      </c>
      <c r="B225" s="1"/>
      <c r="C225" s="1" t="s">
        <v>986</v>
      </c>
      <c r="E225" s="13">
        <v>5218444271523</v>
      </c>
      <c r="F225" s="1" t="s">
        <v>40</v>
      </c>
      <c r="G225" s="73">
        <v>45877</v>
      </c>
      <c r="H225" s="4" t="s">
        <v>956</v>
      </c>
      <c r="I225" s="4" t="s">
        <v>459</v>
      </c>
      <c r="J225" s="66" t="b">
        <v>0</v>
      </c>
      <c r="K225" s="67" t="b">
        <v>1</v>
      </c>
      <c r="L225" s="68" t="b">
        <v>0</v>
      </c>
      <c r="M225" s="66" t="b">
        <v>0</v>
      </c>
      <c r="N225" s="67" t="b">
        <v>1</v>
      </c>
      <c r="O225" s="68" t="b">
        <v>0</v>
      </c>
      <c r="P225" s="66" t="b">
        <v>0</v>
      </c>
      <c r="Q225" s="67" t="b">
        <v>1</v>
      </c>
      <c r="R225" s="68" t="b">
        <v>0</v>
      </c>
      <c r="S225" s="8"/>
    </row>
    <row r="226" spans="1:24" ht="14">
      <c r="A226" s="1" t="s">
        <v>5</v>
      </c>
      <c r="B226" s="4"/>
      <c r="C226" s="4" t="s">
        <v>987</v>
      </c>
      <c r="E226" s="13">
        <v>34676616578</v>
      </c>
      <c r="F226" s="1" t="s">
        <v>988</v>
      </c>
      <c r="G226" s="73">
        <v>45877</v>
      </c>
      <c r="H226" s="4" t="s">
        <v>979</v>
      </c>
      <c r="I226" s="4" t="s">
        <v>459</v>
      </c>
      <c r="J226" s="66" t="b">
        <v>0</v>
      </c>
      <c r="K226" s="67" t="b">
        <v>1</v>
      </c>
      <c r="L226" s="68" t="b">
        <v>0</v>
      </c>
      <c r="M226" s="66" t="b">
        <v>0</v>
      </c>
      <c r="N226" s="67" t="b">
        <v>0</v>
      </c>
      <c r="O226" s="68" t="b">
        <v>0</v>
      </c>
      <c r="P226" s="66" t="b">
        <v>0</v>
      </c>
      <c r="Q226" s="67" t="b">
        <v>0</v>
      </c>
      <c r="R226" s="68" t="b">
        <v>0</v>
      </c>
      <c r="S226" s="8"/>
    </row>
    <row r="227" spans="1:24" ht="13">
      <c r="A227" s="1" t="s">
        <v>5</v>
      </c>
      <c r="B227" s="1" t="s">
        <v>119</v>
      </c>
      <c r="C227" s="1" t="s">
        <v>989</v>
      </c>
      <c r="D227" s="1" t="s">
        <v>990</v>
      </c>
      <c r="E227" s="1">
        <v>34626500521</v>
      </c>
      <c r="F227" s="1" t="s">
        <v>27</v>
      </c>
      <c r="G227" s="73">
        <v>45877</v>
      </c>
      <c r="H227" s="4" t="s">
        <v>856</v>
      </c>
      <c r="I227" s="1" t="s">
        <v>459</v>
      </c>
      <c r="J227" s="68" t="b">
        <v>1</v>
      </c>
      <c r="K227" s="67" t="b">
        <v>1</v>
      </c>
      <c r="L227" s="68" t="b">
        <v>0</v>
      </c>
      <c r="M227" s="68" t="b">
        <v>1</v>
      </c>
      <c r="N227" s="67" t="b">
        <v>1</v>
      </c>
      <c r="O227" s="68" t="b">
        <v>0</v>
      </c>
      <c r="P227" s="66" t="b">
        <v>0</v>
      </c>
      <c r="Q227" s="67" t="b">
        <v>1</v>
      </c>
      <c r="R227" s="68" t="b">
        <v>0</v>
      </c>
      <c r="S227" s="8"/>
    </row>
    <row r="228" spans="1:24" ht="13">
      <c r="A228" s="1" t="s">
        <v>5</v>
      </c>
      <c r="B228" s="1"/>
      <c r="C228" s="1" t="s">
        <v>991</v>
      </c>
      <c r="E228" s="1">
        <v>573103084681</v>
      </c>
      <c r="F228" s="1" t="s">
        <v>27</v>
      </c>
      <c r="G228" s="73">
        <v>45878</v>
      </c>
      <c r="H228" s="4" t="s">
        <v>956</v>
      </c>
      <c r="I228" s="4"/>
      <c r="J228" s="68" t="b">
        <v>0</v>
      </c>
      <c r="K228" s="67" t="b">
        <v>0</v>
      </c>
      <c r="L228" s="68" t="b">
        <v>0</v>
      </c>
      <c r="M228" s="66" t="b">
        <v>0</v>
      </c>
      <c r="N228" s="67" t="b">
        <v>0</v>
      </c>
      <c r="O228" s="68" t="b">
        <v>0</v>
      </c>
      <c r="P228" s="66" t="b">
        <v>0</v>
      </c>
      <c r="Q228" s="67" t="b">
        <v>0</v>
      </c>
      <c r="R228" s="68" t="b">
        <v>0</v>
      </c>
      <c r="S228" s="8"/>
    </row>
    <row r="229" spans="1:24" ht="13">
      <c r="A229" s="1" t="s">
        <v>5</v>
      </c>
      <c r="B229" s="13"/>
      <c r="C229" s="13" t="s">
        <v>992</v>
      </c>
      <c r="D229" s="1"/>
      <c r="E229" s="1">
        <v>34674382801</v>
      </c>
      <c r="F229" s="1" t="s">
        <v>8</v>
      </c>
      <c r="G229" s="73">
        <v>45879</v>
      </c>
      <c r="H229" s="4" t="s">
        <v>956</v>
      </c>
      <c r="I229" s="4" t="s">
        <v>459</v>
      </c>
      <c r="J229" s="68" t="b">
        <v>1</v>
      </c>
      <c r="K229" s="67" t="b">
        <v>1</v>
      </c>
      <c r="L229" s="68" t="b">
        <v>0</v>
      </c>
      <c r="M229" s="68" t="b">
        <v>1</v>
      </c>
      <c r="N229" s="67" t="b">
        <v>0</v>
      </c>
      <c r="O229" s="68" t="b">
        <v>0</v>
      </c>
      <c r="P229" s="66" t="b">
        <v>0</v>
      </c>
      <c r="Q229" s="67" t="b">
        <v>0</v>
      </c>
      <c r="R229" s="68" t="b">
        <v>0</v>
      </c>
      <c r="S229" s="8"/>
    </row>
    <row r="230" spans="1:24" ht="13">
      <c r="A230" s="1" t="s">
        <v>5</v>
      </c>
      <c r="B230" s="1"/>
      <c r="C230" s="1" t="s">
        <v>993</v>
      </c>
      <c r="E230" s="1">
        <v>5732230589059</v>
      </c>
      <c r="F230" s="1" t="s">
        <v>56</v>
      </c>
      <c r="G230" s="73">
        <v>45880</v>
      </c>
      <c r="H230" s="4" t="s">
        <v>956</v>
      </c>
      <c r="I230" s="4" t="s">
        <v>459</v>
      </c>
      <c r="J230" s="66" t="b">
        <v>0</v>
      </c>
      <c r="K230" s="67" t="b">
        <v>1</v>
      </c>
      <c r="L230" s="68" t="b">
        <v>0</v>
      </c>
      <c r="M230" s="66" t="b">
        <v>0</v>
      </c>
      <c r="N230" s="67" t="b">
        <v>0</v>
      </c>
      <c r="O230" s="68" t="b">
        <v>0</v>
      </c>
      <c r="P230" s="66" t="b">
        <v>0</v>
      </c>
      <c r="Q230" s="67" t="b">
        <v>0</v>
      </c>
      <c r="R230" s="68" t="b">
        <v>0</v>
      </c>
      <c r="S230" s="8"/>
    </row>
    <row r="231" spans="1:24" ht="15.75" customHeight="1">
      <c r="A231" s="1" t="s">
        <v>5</v>
      </c>
      <c r="B231" s="40"/>
      <c r="C231" s="40" t="s">
        <v>62</v>
      </c>
      <c r="D231" s="35" t="s">
        <v>994</v>
      </c>
      <c r="E231" s="1">
        <v>34612269340</v>
      </c>
      <c r="F231" s="1" t="s">
        <v>63</v>
      </c>
      <c r="G231" s="73">
        <v>45880</v>
      </c>
      <c r="H231" s="4" t="s">
        <v>956</v>
      </c>
      <c r="I231" s="4" t="s">
        <v>448</v>
      </c>
      <c r="J231" s="66" t="b">
        <v>0</v>
      </c>
      <c r="K231" s="67" t="b">
        <v>1</v>
      </c>
      <c r="L231" s="68" t="b">
        <v>0</v>
      </c>
      <c r="M231" s="66" t="b">
        <v>0</v>
      </c>
      <c r="N231" s="67" t="b">
        <v>0</v>
      </c>
      <c r="O231" s="68" t="b">
        <v>0</v>
      </c>
      <c r="P231" s="66" t="b">
        <v>0</v>
      </c>
      <c r="Q231" s="67" t="b">
        <v>0</v>
      </c>
      <c r="R231" s="68" t="b">
        <v>0</v>
      </c>
      <c r="S231" s="4" t="s">
        <v>945</v>
      </c>
      <c r="T231" s="50">
        <v>45904</v>
      </c>
      <c r="U231" s="2">
        <v>175</v>
      </c>
      <c r="V231" s="7">
        <v>0.5</v>
      </c>
      <c r="W231" s="4">
        <v>1</v>
      </c>
      <c r="X231" s="8">
        <v>45658</v>
      </c>
    </row>
    <row r="232" spans="1:24" ht="13">
      <c r="A232" s="1" t="s">
        <v>5</v>
      </c>
      <c r="B232" s="1"/>
      <c r="C232" s="1" t="s">
        <v>995</v>
      </c>
      <c r="E232" s="1">
        <v>595991825726</v>
      </c>
      <c r="F232" s="1" t="s">
        <v>56</v>
      </c>
      <c r="G232" s="73">
        <v>45880</v>
      </c>
      <c r="H232" s="4" t="s">
        <v>956</v>
      </c>
      <c r="I232" s="4" t="s">
        <v>941</v>
      </c>
      <c r="J232" s="66" t="b">
        <v>0</v>
      </c>
      <c r="K232" s="67" t="b">
        <v>1</v>
      </c>
      <c r="L232" s="68" t="b">
        <v>0</v>
      </c>
      <c r="M232" s="66" t="b">
        <v>0</v>
      </c>
      <c r="N232" s="67" t="b">
        <v>0</v>
      </c>
      <c r="O232" s="68" t="b">
        <v>0</v>
      </c>
      <c r="P232" s="66" t="b">
        <v>0</v>
      </c>
      <c r="Q232" s="67" t="b">
        <v>0</v>
      </c>
      <c r="R232" s="68" t="b">
        <v>0</v>
      </c>
      <c r="S232" s="8"/>
    </row>
    <row r="233" spans="1:24" ht="12.5">
      <c r="A233" s="4" t="s">
        <v>5</v>
      </c>
      <c r="B233" s="4"/>
      <c r="C233" s="4" t="s">
        <v>996</v>
      </c>
      <c r="D233" s="4" t="s">
        <v>997</v>
      </c>
      <c r="E233" s="4">
        <v>34640319700</v>
      </c>
      <c r="F233" s="4" t="s">
        <v>102</v>
      </c>
      <c r="G233" s="32">
        <v>45880</v>
      </c>
      <c r="H233" s="4" t="s">
        <v>856</v>
      </c>
      <c r="I233" s="4" t="s">
        <v>459</v>
      </c>
      <c r="J233" s="68" t="b">
        <v>0</v>
      </c>
      <c r="K233" s="67" t="b">
        <v>1</v>
      </c>
      <c r="L233" s="68" t="b">
        <v>0</v>
      </c>
      <c r="M233" s="68" t="b">
        <v>1</v>
      </c>
      <c r="N233" s="67" t="b">
        <v>0</v>
      </c>
      <c r="O233" s="68" t="b">
        <v>0</v>
      </c>
      <c r="P233" s="66" t="b">
        <v>0</v>
      </c>
      <c r="Q233" s="67" t="b">
        <v>0</v>
      </c>
      <c r="R233" s="68" t="b">
        <v>0</v>
      </c>
      <c r="S233" s="8"/>
      <c r="T233" s="68"/>
    </row>
    <row r="234" spans="1:24" ht="12.5">
      <c r="A234" s="4" t="s">
        <v>5</v>
      </c>
      <c r="B234" s="4"/>
      <c r="C234" s="4" t="s">
        <v>998</v>
      </c>
      <c r="D234" s="4" t="s">
        <v>999</v>
      </c>
      <c r="E234" s="4">
        <v>34661252522</v>
      </c>
      <c r="F234" s="4" t="s">
        <v>1000</v>
      </c>
      <c r="G234" s="32">
        <v>45880</v>
      </c>
      <c r="H234" s="4" t="s">
        <v>856</v>
      </c>
      <c r="I234" s="4" t="s">
        <v>459</v>
      </c>
      <c r="J234" s="68" t="b">
        <v>1</v>
      </c>
      <c r="K234" s="67" t="b">
        <v>1</v>
      </c>
      <c r="L234" s="68" t="b">
        <v>0</v>
      </c>
      <c r="M234" s="68" t="b">
        <v>1</v>
      </c>
      <c r="N234" s="67" t="b">
        <v>0</v>
      </c>
      <c r="O234" s="68" t="b">
        <v>0</v>
      </c>
      <c r="P234" s="66" t="b">
        <v>0</v>
      </c>
      <c r="Q234" s="67" t="b">
        <v>0</v>
      </c>
      <c r="R234" s="68" t="b">
        <v>0</v>
      </c>
      <c r="S234" s="8"/>
    </row>
    <row r="235" spans="1:24" ht="12.5">
      <c r="A235" s="4" t="s">
        <v>5</v>
      </c>
      <c r="B235" s="4"/>
      <c r="C235" s="4" t="s">
        <v>79</v>
      </c>
      <c r="D235" s="4" t="s">
        <v>80</v>
      </c>
      <c r="E235" s="4">
        <v>50431568737</v>
      </c>
      <c r="F235" s="4" t="s">
        <v>11</v>
      </c>
      <c r="G235" s="32">
        <v>45880</v>
      </c>
      <c r="H235" s="4" t="s">
        <v>856</v>
      </c>
      <c r="I235" s="4" t="s">
        <v>448</v>
      </c>
      <c r="J235" s="66" t="b">
        <v>0</v>
      </c>
      <c r="K235" s="67" t="b">
        <v>1</v>
      </c>
      <c r="L235" s="68" t="b">
        <v>0</v>
      </c>
      <c r="M235" s="66" t="b">
        <v>0</v>
      </c>
      <c r="N235" s="67" t="b">
        <v>1</v>
      </c>
      <c r="O235" s="68" t="b">
        <v>0</v>
      </c>
      <c r="P235" s="66" t="b">
        <v>0</v>
      </c>
      <c r="Q235" s="67" t="b">
        <v>0</v>
      </c>
      <c r="R235" s="68" t="b">
        <v>0</v>
      </c>
      <c r="S235" s="8"/>
    </row>
    <row r="236" spans="1:24" ht="12.5">
      <c r="A236" s="4" t="s">
        <v>5</v>
      </c>
      <c r="B236" s="4"/>
      <c r="C236" s="4" t="s">
        <v>1001</v>
      </c>
      <c r="D236" s="4" t="s">
        <v>1002</v>
      </c>
      <c r="E236" s="4">
        <v>525567920967</v>
      </c>
      <c r="F236" s="4" t="s">
        <v>481</v>
      </c>
      <c r="G236" s="32">
        <v>45880</v>
      </c>
      <c r="H236" s="4" t="s">
        <v>856</v>
      </c>
      <c r="I236" s="4" t="s">
        <v>459</v>
      </c>
      <c r="J236" s="68" t="b">
        <v>1</v>
      </c>
      <c r="K236" s="67" t="b">
        <v>1</v>
      </c>
      <c r="L236" s="68" t="b">
        <v>0</v>
      </c>
      <c r="M236" s="66" t="b">
        <v>0</v>
      </c>
      <c r="N236" s="67" t="b">
        <v>1</v>
      </c>
      <c r="O236" s="68" t="b">
        <v>0</v>
      </c>
      <c r="P236" s="66" t="b">
        <v>0</v>
      </c>
      <c r="Q236" s="67" t="b">
        <v>0</v>
      </c>
      <c r="R236" s="68" t="b">
        <v>0</v>
      </c>
      <c r="S236" s="8"/>
    </row>
    <row r="237" spans="1:24" ht="12.5">
      <c r="A237" s="4" t="s">
        <v>5</v>
      </c>
      <c r="B237" s="4"/>
      <c r="C237" s="4" t="s">
        <v>1003</v>
      </c>
      <c r="E237" s="4">
        <v>34679902139</v>
      </c>
      <c r="F237" s="4" t="s">
        <v>395</v>
      </c>
      <c r="G237" s="32">
        <v>45880</v>
      </c>
      <c r="H237" s="4" t="s">
        <v>979</v>
      </c>
      <c r="I237" s="4" t="s">
        <v>459</v>
      </c>
      <c r="J237" s="68" t="b">
        <v>0</v>
      </c>
      <c r="K237" s="67" t="b">
        <v>1</v>
      </c>
      <c r="L237" s="68" t="b">
        <v>0</v>
      </c>
      <c r="M237" s="66" t="b">
        <v>0</v>
      </c>
      <c r="N237" s="67" t="b">
        <v>0</v>
      </c>
      <c r="O237" s="68" t="b">
        <v>0</v>
      </c>
      <c r="P237" s="66" t="b">
        <v>0</v>
      </c>
      <c r="Q237" s="67" t="b">
        <v>0</v>
      </c>
      <c r="R237" s="68" t="b">
        <v>0</v>
      </c>
      <c r="S237" s="8"/>
    </row>
    <row r="238" spans="1:24" ht="12.5">
      <c r="A238" s="4" t="s">
        <v>5</v>
      </c>
      <c r="B238" s="4" t="s">
        <v>119</v>
      </c>
      <c r="C238" s="4" t="s">
        <v>1004</v>
      </c>
      <c r="D238" s="4" t="s">
        <v>1005</v>
      </c>
      <c r="E238" s="4">
        <v>34652910563</v>
      </c>
      <c r="F238" s="4" t="s">
        <v>27</v>
      </c>
      <c r="G238" s="32">
        <v>45882</v>
      </c>
      <c r="H238" s="4" t="s">
        <v>856</v>
      </c>
      <c r="I238" s="4" t="s">
        <v>459</v>
      </c>
      <c r="J238" s="66" t="b">
        <v>1</v>
      </c>
      <c r="K238" s="67" t="b">
        <v>1</v>
      </c>
      <c r="L238" s="68" t="b">
        <v>0</v>
      </c>
      <c r="M238" s="66" t="b">
        <v>0</v>
      </c>
      <c r="N238" s="67" t="b">
        <v>0</v>
      </c>
      <c r="O238" s="68" t="b">
        <v>0</v>
      </c>
      <c r="P238" s="66" t="b">
        <v>0</v>
      </c>
      <c r="Q238" s="67" t="b">
        <v>0</v>
      </c>
      <c r="R238" s="68" t="b">
        <v>0</v>
      </c>
      <c r="S238" s="8"/>
    </row>
    <row r="239" spans="1:24" ht="12.5">
      <c r="A239" s="4" t="s">
        <v>5</v>
      </c>
      <c r="B239" s="4"/>
      <c r="C239" s="4" t="s">
        <v>35</v>
      </c>
      <c r="D239" s="4" t="s">
        <v>36</v>
      </c>
      <c r="E239" s="4">
        <v>34619842603</v>
      </c>
      <c r="F239" s="4" t="s">
        <v>37</v>
      </c>
      <c r="G239" s="32">
        <v>45882</v>
      </c>
      <c r="H239" s="4" t="s">
        <v>856</v>
      </c>
      <c r="I239" s="4" t="s">
        <v>448</v>
      </c>
      <c r="J239" s="68" t="b">
        <v>0</v>
      </c>
      <c r="K239" s="67" t="b">
        <v>1</v>
      </c>
      <c r="L239" s="68" t="b">
        <v>0</v>
      </c>
      <c r="M239" s="66" t="b">
        <v>0</v>
      </c>
      <c r="N239" s="67" t="b">
        <v>0</v>
      </c>
      <c r="O239" s="68" t="b">
        <v>0</v>
      </c>
      <c r="P239" s="66" t="b">
        <v>0</v>
      </c>
      <c r="Q239" s="67" t="b">
        <v>0</v>
      </c>
      <c r="R239" s="68" t="b">
        <v>0</v>
      </c>
      <c r="S239" s="4" t="s">
        <v>945</v>
      </c>
      <c r="T239" s="50">
        <v>45882</v>
      </c>
      <c r="U239" s="2">
        <v>145</v>
      </c>
      <c r="V239" s="7">
        <v>0.5</v>
      </c>
      <c r="W239" s="4">
        <v>1</v>
      </c>
      <c r="X239" s="8">
        <v>45658</v>
      </c>
    </row>
    <row r="240" spans="1:24" ht="12.5">
      <c r="A240" s="4" t="s">
        <v>5</v>
      </c>
      <c r="B240" s="4"/>
      <c r="C240" s="4" t="s">
        <v>1006</v>
      </c>
      <c r="D240" s="4" t="s">
        <v>1007</v>
      </c>
      <c r="E240" s="4">
        <v>56962727223</v>
      </c>
      <c r="F240" s="4" t="s">
        <v>1008</v>
      </c>
      <c r="G240" s="32">
        <v>45882</v>
      </c>
      <c r="H240" s="4" t="s">
        <v>856</v>
      </c>
      <c r="I240" s="4" t="s">
        <v>459</v>
      </c>
      <c r="J240" s="68" t="b">
        <v>0</v>
      </c>
      <c r="K240" s="67" t="b">
        <v>1</v>
      </c>
      <c r="L240" s="68" t="b">
        <v>0</v>
      </c>
      <c r="M240" s="68" t="b">
        <v>1</v>
      </c>
      <c r="N240" s="67" t="b">
        <v>1</v>
      </c>
      <c r="O240" s="68" t="b">
        <v>0</v>
      </c>
      <c r="P240" s="66" t="b">
        <v>0</v>
      </c>
      <c r="Q240" s="67" t="b">
        <v>0</v>
      </c>
      <c r="R240" s="68" t="b">
        <v>0</v>
      </c>
      <c r="S240" s="4"/>
      <c r="T240" s="50"/>
      <c r="U240" s="2"/>
      <c r="V240" s="7"/>
      <c r="W240" s="4"/>
      <c r="X240" s="8"/>
    </row>
    <row r="241" spans="1:24" ht="12.5">
      <c r="A241" s="4" t="s">
        <v>5</v>
      </c>
      <c r="B241" s="4" t="s">
        <v>119</v>
      </c>
      <c r="C241" s="4" t="s">
        <v>46</v>
      </c>
      <c r="D241" s="4" t="s">
        <v>47</v>
      </c>
      <c r="E241" s="4">
        <v>34620293551</v>
      </c>
      <c r="F241" s="4" t="s">
        <v>27</v>
      </c>
      <c r="G241" s="32">
        <v>45882</v>
      </c>
      <c r="H241" s="4" t="s">
        <v>856</v>
      </c>
      <c r="I241" s="4" t="s">
        <v>448</v>
      </c>
      <c r="J241" s="68" t="b">
        <v>1</v>
      </c>
      <c r="K241" s="67" t="b">
        <v>1</v>
      </c>
      <c r="L241" s="68" t="b">
        <v>0</v>
      </c>
      <c r="M241" s="66" t="b">
        <v>0</v>
      </c>
      <c r="N241" s="67" t="b">
        <v>0</v>
      </c>
      <c r="O241" s="68" t="b">
        <v>0</v>
      </c>
      <c r="P241" s="66" t="b">
        <v>0</v>
      </c>
      <c r="Q241" s="67" t="b">
        <v>0</v>
      </c>
      <c r="R241" s="68" t="b">
        <v>0</v>
      </c>
      <c r="S241" s="4" t="s">
        <v>34</v>
      </c>
      <c r="T241" s="50">
        <v>45886</v>
      </c>
      <c r="U241" s="2">
        <v>175</v>
      </c>
      <c r="V241" s="7">
        <v>0.5</v>
      </c>
      <c r="W241" s="4">
        <v>1</v>
      </c>
      <c r="X241" s="8">
        <v>45658</v>
      </c>
    </row>
    <row r="242" spans="1:24" ht="12.5">
      <c r="A242" s="4" t="s">
        <v>5</v>
      </c>
      <c r="B242" s="4"/>
      <c r="C242" s="4" t="s">
        <v>1009</v>
      </c>
      <c r="D242" s="4"/>
      <c r="E242" s="4">
        <v>5215521731441</v>
      </c>
      <c r="F242" s="4" t="s">
        <v>496</v>
      </c>
      <c r="G242" s="32">
        <v>45882</v>
      </c>
      <c r="H242" s="4" t="s">
        <v>956</v>
      </c>
      <c r="I242" s="4" t="s">
        <v>459</v>
      </c>
      <c r="J242" s="68" t="b">
        <v>0</v>
      </c>
      <c r="K242" s="67" t="b">
        <v>1</v>
      </c>
      <c r="L242" s="68" t="b">
        <v>0</v>
      </c>
      <c r="M242" s="66" t="b">
        <v>0</v>
      </c>
      <c r="N242" s="67" t="b">
        <v>0</v>
      </c>
      <c r="O242" s="68" t="b">
        <v>0</v>
      </c>
      <c r="P242" s="66" t="b">
        <v>0</v>
      </c>
      <c r="Q242" s="67" t="b">
        <v>0</v>
      </c>
      <c r="R242" s="68" t="b">
        <v>0</v>
      </c>
      <c r="S242" s="4"/>
      <c r="T242" s="50"/>
      <c r="U242" s="2"/>
      <c r="V242" s="7"/>
      <c r="W242" s="4"/>
      <c r="X242" s="8"/>
    </row>
    <row r="243" spans="1:24" ht="12.5">
      <c r="A243" s="4" t="s">
        <v>5</v>
      </c>
      <c r="B243" s="4"/>
      <c r="C243" s="4" t="s">
        <v>1010</v>
      </c>
      <c r="D243" s="4" t="s">
        <v>1011</v>
      </c>
      <c r="E243" s="4">
        <v>34626998762</v>
      </c>
      <c r="F243" s="4" t="s">
        <v>500</v>
      </c>
      <c r="G243" s="32">
        <v>45883</v>
      </c>
      <c r="H243" s="4" t="s">
        <v>856</v>
      </c>
      <c r="I243" s="4" t="s">
        <v>459</v>
      </c>
      <c r="J243" s="68" t="b">
        <v>1</v>
      </c>
      <c r="K243" s="67" t="b">
        <v>1</v>
      </c>
      <c r="L243" s="68" t="b">
        <v>0</v>
      </c>
      <c r="M243" s="66" t="b">
        <v>0</v>
      </c>
      <c r="N243" s="67" t="b">
        <v>0</v>
      </c>
      <c r="O243" s="68" t="b">
        <v>0</v>
      </c>
      <c r="P243" s="66" t="b">
        <v>0</v>
      </c>
      <c r="Q243" s="67" t="b">
        <v>0</v>
      </c>
      <c r="R243" s="68" t="b">
        <v>0</v>
      </c>
      <c r="S243" s="4"/>
      <c r="T243" s="50"/>
      <c r="U243" s="2"/>
      <c r="V243" s="7"/>
      <c r="W243" s="4"/>
      <c r="X243" s="8"/>
    </row>
    <row r="244" spans="1:24" ht="12.5">
      <c r="A244" s="4" t="s">
        <v>5</v>
      </c>
      <c r="B244" s="4"/>
      <c r="C244" s="4" t="s">
        <v>1012</v>
      </c>
      <c r="D244" s="4" t="s">
        <v>1013</v>
      </c>
      <c r="E244" s="4">
        <v>573027087945</v>
      </c>
      <c r="F244" s="4" t="s">
        <v>1014</v>
      </c>
      <c r="G244" s="32">
        <v>45883</v>
      </c>
      <c r="H244" s="4" t="s">
        <v>856</v>
      </c>
      <c r="I244" s="4" t="s">
        <v>1015</v>
      </c>
      <c r="J244" s="68" t="b">
        <v>0</v>
      </c>
      <c r="K244" s="67" t="b">
        <v>1</v>
      </c>
      <c r="L244" s="68" t="b">
        <v>0</v>
      </c>
      <c r="M244" s="66" t="b">
        <v>0</v>
      </c>
      <c r="N244" s="67" t="b">
        <v>0</v>
      </c>
      <c r="O244" s="68" t="b">
        <v>0</v>
      </c>
      <c r="P244" s="66" t="b">
        <v>0</v>
      </c>
      <c r="Q244" s="67" t="b">
        <v>0</v>
      </c>
      <c r="R244" s="68" t="b">
        <v>0</v>
      </c>
      <c r="S244" s="4"/>
      <c r="T244" s="50"/>
      <c r="U244" s="2"/>
      <c r="V244" s="7"/>
      <c r="W244" s="4"/>
      <c r="X244" s="8"/>
    </row>
    <row r="245" spans="1:24" ht="12.5">
      <c r="A245" s="4" t="s">
        <v>5</v>
      </c>
      <c r="B245" s="4"/>
      <c r="C245" s="4" t="s">
        <v>1016</v>
      </c>
      <c r="D245" s="4" t="s">
        <v>1017</v>
      </c>
      <c r="E245" s="4">
        <v>525534667991</v>
      </c>
      <c r="F245" s="4" t="s">
        <v>210</v>
      </c>
      <c r="G245" s="32">
        <v>45883</v>
      </c>
      <c r="H245" s="4" t="s">
        <v>856</v>
      </c>
      <c r="I245" s="4" t="s">
        <v>459</v>
      </c>
      <c r="J245" s="68" t="b">
        <v>0</v>
      </c>
      <c r="K245" s="67" t="b">
        <v>1</v>
      </c>
      <c r="L245" s="68" t="b">
        <v>0</v>
      </c>
      <c r="M245" s="66" t="b">
        <v>0</v>
      </c>
      <c r="N245" s="67" t="b">
        <v>0</v>
      </c>
      <c r="O245" s="68" t="b">
        <v>0</v>
      </c>
      <c r="P245" s="66" t="b">
        <v>0</v>
      </c>
      <c r="Q245" s="67" t="b">
        <v>0</v>
      </c>
      <c r="R245" s="68" t="b">
        <v>0</v>
      </c>
      <c r="S245" s="4"/>
      <c r="T245" s="50"/>
      <c r="U245" s="2"/>
      <c r="V245" s="7"/>
      <c r="W245" s="4"/>
      <c r="X245" s="8"/>
    </row>
    <row r="246" spans="1:24" ht="12.5">
      <c r="A246" s="4" t="s">
        <v>5</v>
      </c>
      <c r="B246" s="4"/>
      <c r="C246" s="4" t="s">
        <v>1018</v>
      </c>
      <c r="E246" s="4">
        <v>34620340998</v>
      </c>
      <c r="G246" s="32">
        <v>45883</v>
      </c>
      <c r="H246" s="4" t="s">
        <v>979</v>
      </c>
      <c r="I246" s="4" t="s">
        <v>448</v>
      </c>
      <c r="J246" s="68" t="b">
        <v>0</v>
      </c>
      <c r="K246" s="67" t="b">
        <v>0</v>
      </c>
      <c r="L246" s="68" t="b">
        <v>0</v>
      </c>
      <c r="M246" s="66" t="b">
        <v>0</v>
      </c>
      <c r="N246" s="67" t="b">
        <v>0</v>
      </c>
      <c r="O246" s="68" t="b">
        <v>0</v>
      </c>
      <c r="P246" s="66" t="b">
        <v>0</v>
      </c>
      <c r="Q246" s="67" t="b">
        <v>0</v>
      </c>
      <c r="R246" s="68" t="b">
        <v>0</v>
      </c>
      <c r="S246" s="8"/>
    </row>
    <row r="247" spans="1:24" ht="12.5">
      <c r="A247" s="4" t="s">
        <v>5</v>
      </c>
      <c r="B247" s="4"/>
      <c r="C247" s="4" t="s">
        <v>1019</v>
      </c>
      <c r="E247" s="4">
        <v>34682384223</v>
      </c>
      <c r="G247" s="32">
        <v>45883</v>
      </c>
      <c r="H247" s="4" t="s">
        <v>979</v>
      </c>
      <c r="I247" s="4" t="s">
        <v>941</v>
      </c>
      <c r="J247" s="68" t="b">
        <v>0</v>
      </c>
      <c r="K247" s="67" t="b">
        <v>0</v>
      </c>
      <c r="L247" s="68" t="b">
        <v>0</v>
      </c>
      <c r="M247" s="66" t="b">
        <v>0</v>
      </c>
      <c r="N247" s="67" t="b">
        <v>0</v>
      </c>
      <c r="O247" s="68" t="b">
        <v>0</v>
      </c>
      <c r="P247" s="66" t="b">
        <v>0</v>
      </c>
      <c r="Q247" s="67" t="b">
        <v>0</v>
      </c>
      <c r="R247" s="68" t="b">
        <v>0</v>
      </c>
      <c r="S247" s="8"/>
    </row>
    <row r="248" spans="1:24" ht="12.5">
      <c r="A248" s="4" t="s">
        <v>5</v>
      </c>
      <c r="B248" s="4"/>
      <c r="C248" s="4" t="s">
        <v>1020</v>
      </c>
      <c r="E248" s="4">
        <v>549351305410</v>
      </c>
      <c r="G248" s="32">
        <v>45883</v>
      </c>
      <c r="H248" s="4" t="s">
        <v>979</v>
      </c>
      <c r="I248" s="4" t="s">
        <v>941</v>
      </c>
      <c r="J248" s="68" t="b">
        <v>0</v>
      </c>
      <c r="K248" s="67" t="b">
        <v>1</v>
      </c>
      <c r="L248" s="68" t="b">
        <v>0</v>
      </c>
      <c r="M248" s="66" t="b">
        <v>0</v>
      </c>
      <c r="N248" s="67" t="b">
        <v>0</v>
      </c>
      <c r="O248" s="68" t="b">
        <v>0</v>
      </c>
      <c r="P248" s="66" t="b">
        <v>0</v>
      </c>
      <c r="Q248" s="67" t="b">
        <v>0</v>
      </c>
      <c r="R248" s="68" t="b">
        <v>0</v>
      </c>
      <c r="S248" s="8"/>
    </row>
    <row r="249" spans="1:24" ht="12.5">
      <c r="A249" s="4" t="s">
        <v>5</v>
      </c>
      <c r="B249" s="4"/>
      <c r="C249" s="4" t="s">
        <v>48</v>
      </c>
      <c r="D249" s="4" t="s">
        <v>49</v>
      </c>
      <c r="E249" s="4">
        <v>34678743611</v>
      </c>
      <c r="F249" s="4" t="s">
        <v>50</v>
      </c>
      <c r="G249" s="32">
        <v>45885</v>
      </c>
      <c r="H249" s="4" t="s">
        <v>856</v>
      </c>
      <c r="I249" s="4" t="s">
        <v>448</v>
      </c>
      <c r="J249" s="68" t="b">
        <v>0</v>
      </c>
      <c r="K249" s="67" t="b">
        <v>1</v>
      </c>
      <c r="L249" s="68" t="b">
        <v>0</v>
      </c>
      <c r="M249" s="66" t="b">
        <v>0</v>
      </c>
      <c r="N249" s="67" t="b">
        <v>0</v>
      </c>
      <c r="O249" s="68" t="b">
        <v>0</v>
      </c>
      <c r="P249" s="66" t="b">
        <v>0</v>
      </c>
      <c r="Q249" s="67" t="b">
        <v>0</v>
      </c>
      <c r="R249" s="68" t="b">
        <v>0</v>
      </c>
      <c r="S249" s="4" t="s">
        <v>945</v>
      </c>
      <c r="T249" s="50">
        <v>45887</v>
      </c>
      <c r="U249" s="2">
        <v>140</v>
      </c>
      <c r="V249" s="4">
        <v>0</v>
      </c>
      <c r="W249" s="4">
        <v>1</v>
      </c>
      <c r="X249" s="8">
        <v>45658</v>
      </c>
    </row>
    <row r="250" spans="1:24" ht="12.5">
      <c r="A250" s="4" t="s">
        <v>5</v>
      </c>
      <c r="B250" s="4"/>
      <c r="C250" s="4" t="s">
        <v>1021</v>
      </c>
      <c r="D250" s="4"/>
      <c r="E250" s="4">
        <v>34682384223</v>
      </c>
      <c r="F250" s="4" t="s">
        <v>27</v>
      </c>
      <c r="G250" s="32">
        <v>45885</v>
      </c>
      <c r="H250" s="4" t="s">
        <v>956</v>
      </c>
      <c r="I250" s="4" t="s">
        <v>459</v>
      </c>
      <c r="J250" s="68" t="b">
        <v>1</v>
      </c>
      <c r="K250" s="67" t="b">
        <v>1</v>
      </c>
      <c r="L250" s="68" t="b">
        <v>0</v>
      </c>
      <c r="M250" s="66" t="b">
        <v>0</v>
      </c>
      <c r="N250" s="67" t="b">
        <v>0</v>
      </c>
      <c r="O250" s="68" t="b">
        <v>0</v>
      </c>
      <c r="P250" s="66" t="b">
        <v>0</v>
      </c>
      <c r="Q250" s="67" t="b">
        <v>0</v>
      </c>
      <c r="R250" s="68" t="b">
        <v>0</v>
      </c>
      <c r="S250" s="8"/>
    </row>
    <row r="251" spans="1:24" ht="12.5">
      <c r="A251" s="4" t="s">
        <v>5</v>
      </c>
      <c r="B251" s="4"/>
      <c r="C251" s="4" t="s">
        <v>1022</v>
      </c>
      <c r="D251" s="4" t="s">
        <v>1023</v>
      </c>
      <c r="E251" s="4">
        <v>34627107980</v>
      </c>
      <c r="F251" s="4" t="s">
        <v>172</v>
      </c>
      <c r="G251" s="32">
        <v>45887</v>
      </c>
      <c r="H251" s="4" t="s">
        <v>856</v>
      </c>
      <c r="I251" s="9" t="s">
        <v>886</v>
      </c>
      <c r="J251" s="68" t="b">
        <v>1</v>
      </c>
      <c r="K251" s="67" t="b">
        <v>1</v>
      </c>
      <c r="L251" s="68" t="b">
        <v>0</v>
      </c>
      <c r="M251" s="66" t="b">
        <v>0</v>
      </c>
      <c r="N251" s="67" t="b">
        <v>0</v>
      </c>
      <c r="O251" s="68" t="b">
        <v>0</v>
      </c>
      <c r="P251" s="66" t="b">
        <v>0</v>
      </c>
      <c r="Q251" s="67" t="b">
        <v>0</v>
      </c>
      <c r="R251" s="68" t="b">
        <v>0</v>
      </c>
      <c r="S251" s="8"/>
    </row>
    <row r="252" spans="1:24" ht="12.5">
      <c r="A252" s="4" t="s">
        <v>5</v>
      </c>
      <c r="B252" s="4"/>
      <c r="C252" s="4" t="s">
        <v>1024</v>
      </c>
      <c r="E252" s="4">
        <v>5216564014082</v>
      </c>
      <c r="F252" s="4" t="s">
        <v>1025</v>
      </c>
      <c r="G252" s="32">
        <v>45887</v>
      </c>
      <c r="H252" s="4" t="s">
        <v>979</v>
      </c>
      <c r="I252" s="4" t="s">
        <v>459</v>
      </c>
      <c r="J252" s="68" t="b">
        <v>0</v>
      </c>
      <c r="K252" s="67" t="b">
        <v>1</v>
      </c>
      <c r="L252" s="68" t="b">
        <v>0</v>
      </c>
      <c r="M252" s="66" t="b">
        <v>0</v>
      </c>
      <c r="N252" s="67" t="b">
        <v>0</v>
      </c>
      <c r="O252" s="68" t="b">
        <v>0</v>
      </c>
      <c r="P252" s="66" t="b">
        <v>0</v>
      </c>
      <c r="Q252" s="67" t="b">
        <v>0</v>
      </c>
      <c r="R252" s="68" t="b">
        <v>0</v>
      </c>
      <c r="S252" s="8"/>
    </row>
    <row r="253" spans="1:24" ht="12.5">
      <c r="A253" s="4" t="s">
        <v>5</v>
      </c>
      <c r="B253" s="4" t="s">
        <v>119</v>
      </c>
      <c r="C253" s="4" t="s">
        <v>1026</v>
      </c>
      <c r="D253" s="4" t="s">
        <v>1027</v>
      </c>
      <c r="E253" s="4">
        <v>34609564246</v>
      </c>
      <c r="F253" s="4" t="s">
        <v>27</v>
      </c>
      <c r="G253" s="32">
        <v>45887</v>
      </c>
      <c r="H253" s="4" t="s">
        <v>856</v>
      </c>
      <c r="I253" s="4" t="s">
        <v>459</v>
      </c>
      <c r="J253" s="66" t="b">
        <v>1</v>
      </c>
      <c r="K253" s="67" t="b">
        <v>1</v>
      </c>
      <c r="L253" s="68" t="b">
        <v>0</v>
      </c>
      <c r="M253" s="66" t="b">
        <v>0</v>
      </c>
      <c r="N253" s="67" t="b">
        <v>0</v>
      </c>
      <c r="O253" s="68" t="b">
        <v>0</v>
      </c>
      <c r="P253" s="66" t="b">
        <v>0</v>
      </c>
      <c r="Q253" s="67" t="b">
        <v>0</v>
      </c>
      <c r="R253" s="68" t="b">
        <v>0</v>
      </c>
      <c r="S253" s="8"/>
    </row>
    <row r="254" spans="1:24" ht="12.5">
      <c r="A254" s="4" t="s">
        <v>5</v>
      </c>
      <c r="B254" s="4" t="s">
        <v>119</v>
      </c>
      <c r="C254" s="4" t="s">
        <v>1028</v>
      </c>
      <c r="D254" s="4" t="s">
        <v>1029</v>
      </c>
      <c r="E254" s="4">
        <v>34679482397</v>
      </c>
      <c r="F254" s="4" t="s">
        <v>27</v>
      </c>
      <c r="G254" s="32">
        <v>45888</v>
      </c>
      <c r="H254" s="4" t="s">
        <v>856</v>
      </c>
      <c r="I254" s="4" t="s">
        <v>941</v>
      </c>
      <c r="J254" s="68" t="b">
        <v>0</v>
      </c>
      <c r="K254" s="67" t="b">
        <v>1</v>
      </c>
      <c r="L254" s="68" t="b">
        <v>0</v>
      </c>
      <c r="M254" s="66" t="b">
        <v>0</v>
      </c>
      <c r="N254" s="67" t="b">
        <v>0</v>
      </c>
      <c r="O254" s="68" t="b">
        <v>0</v>
      </c>
      <c r="P254" s="66" t="b">
        <v>0</v>
      </c>
      <c r="Q254" s="67" t="b">
        <v>0</v>
      </c>
      <c r="R254" s="68" t="b">
        <v>0</v>
      </c>
      <c r="S254" s="8"/>
    </row>
    <row r="255" spans="1:24" ht="12.5">
      <c r="A255" s="4" t="s">
        <v>5</v>
      </c>
      <c r="B255" s="4"/>
      <c r="C255" s="4" t="s">
        <v>1030</v>
      </c>
      <c r="D255" s="4" t="s">
        <v>1031</v>
      </c>
      <c r="E255" s="4">
        <v>34688695788</v>
      </c>
      <c r="F255" s="4" t="s">
        <v>8</v>
      </c>
      <c r="G255" s="32">
        <v>45888</v>
      </c>
      <c r="H255" s="4" t="s">
        <v>856</v>
      </c>
      <c r="I255" s="4" t="s">
        <v>459</v>
      </c>
      <c r="J255" s="68" t="b">
        <v>1</v>
      </c>
      <c r="K255" s="67" t="b">
        <v>1</v>
      </c>
      <c r="L255" s="68" t="b">
        <v>0</v>
      </c>
      <c r="M255" s="66" t="b">
        <v>0</v>
      </c>
      <c r="N255" s="67" t="b">
        <v>1</v>
      </c>
      <c r="O255" s="68" t="b">
        <v>0</v>
      </c>
      <c r="P255" s="66" t="b">
        <v>0</v>
      </c>
      <c r="Q255" s="67" t="b">
        <v>0</v>
      </c>
      <c r="R255" s="68" t="b">
        <v>0</v>
      </c>
      <c r="S255" s="8"/>
    </row>
    <row r="256" spans="1:24" ht="12.5">
      <c r="A256" s="4" t="s">
        <v>5</v>
      </c>
      <c r="B256" s="4"/>
      <c r="C256" s="4" t="s">
        <v>1032</v>
      </c>
      <c r="D256" s="4" t="s">
        <v>1033</v>
      </c>
      <c r="E256" s="4">
        <v>34645607495</v>
      </c>
      <c r="F256" s="4" t="s">
        <v>496</v>
      </c>
      <c r="G256" s="32">
        <v>45888</v>
      </c>
      <c r="H256" s="4" t="s">
        <v>856</v>
      </c>
      <c r="I256" s="4" t="s">
        <v>459</v>
      </c>
      <c r="J256" s="68" t="b">
        <v>1</v>
      </c>
      <c r="K256" s="67" t="b">
        <v>0</v>
      </c>
      <c r="L256" s="68" t="b">
        <v>0</v>
      </c>
      <c r="M256" s="68" t="b">
        <v>1</v>
      </c>
      <c r="N256" s="67" t="b">
        <v>1</v>
      </c>
      <c r="O256" s="68" t="b">
        <v>0</v>
      </c>
      <c r="P256" s="66" t="b">
        <v>0</v>
      </c>
      <c r="Q256" s="67" t="b">
        <v>0</v>
      </c>
      <c r="R256" s="68" t="b">
        <v>0</v>
      </c>
      <c r="S256" s="8"/>
    </row>
    <row r="257" spans="1:24" ht="12.5">
      <c r="A257" s="4" t="s">
        <v>5</v>
      </c>
      <c r="B257" s="4"/>
      <c r="C257" s="4" t="s">
        <v>1034</v>
      </c>
      <c r="E257" s="4">
        <v>34643032759</v>
      </c>
      <c r="F257" s="4" t="s">
        <v>386</v>
      </c>
      <c r="G257" s="32">
        <v>45888</v>
      </c>
      <c r="H257" s="4" t="s">
        <v>956</v>
      </c>
      <c r="I257" s="4" t="s">
        <v>459</v>
      </c>
      <c r="J257" s="68" t="b">
        <v>1</v>
      </c>
      <c r="K257" s="67" t="b">
        <v>1</v>
      </c>
      <c r="L257" s="68" t="b">
        <v>0</v>
      </c>
      <c r="M257" s="66" t="b">
        <v>0</v>
      </c>
      <c r="N257" s="67" t="b">
        <v>0</v>
      </c>
      <c r="O257" s="68" t="b">
        <v>0</v>
      </c>
      <c r="P257" s="66" t="b">
        <v>0</v>
      </c>
      <c r="Q257" s="67" t="b">
        <v>0</v>
      </c>
      <c r="R257" s="68" t="b">
        <v>0</v>
      </c>
      <c r="S257" s="8"/>
    </row>
    <row r="258" spans="1:24" ht="12.5">
      <c r="A258" s="4" t="s">
        <v>5</v>
      </c>
      <c r="B258" s="4"/>
      <c r="C258" s="4" t="s">
        <v>9</v>
      </c>
      <c r="D258" s="4" t="s">
        <v>10</v>
      </c>
      <c r="E258" s="4">
        <v>34644628480</v>
      </c>
      <c r="F258" s="4" t="s">
        <v>11</v>
      </c>
      <c r="G258" s="32">
        <v>45888</v>
      </c>
      <c r="H258" s="4" t="s">
        <v>956</v>
      </c>
      <c r="I258" s="4" t="s">
        <v>448</v>
      </c>
      <c r="J258" s="66" t="b">
        <v>1</v>
      </c>
      <c r="K258" s="67" t="b">
        <v>1</v>
      </c>
      <c r="L258" s="68" t="b">
        <v>0</v>
      </c>
      <c r="M258" s="66" t="b">
        <v>0</v>
      </c>
      <c r="N258" s="67" t="b">
        <v>0</v>
      </c>
      <c r="O258" s="68" t="b">
        <v>0</v>
      </c>
      <c r="P258" s="66" t="b">
        <v>0</v>
      </c>
      <c r="Q258" s="67" t="b">
        <v>0</v>
      </c>
      <c r="R258" s="68" t="b">
        <v>0</v>
      </c>
      <c r="S258" s="4" t="s">
        <v>945</v>
      </c>
      <c r="T258" s="3">
        <v>45895</v>
      </c>
      <c r="U258" s="2">
        <v>189</v>
      </c>
      <c r="V258" s="7">
        <v>0.3</v>
      </c>
      <c r="W258" s="4">
        <v>2</v>
      </c>
      <c r="X258" s="8">
        <v>45689</v>
      </c>
    </row>
    <row r="259" spans="1:24" ht="12.5">
      <c r="A259" s="4" t="s">
        <v>5</v>
      </c>
      <c r="B259" s="4" t="s">
        <v>119</v>
      </c>
      <c r="C259" s="4" t="s">
        <v>1035</v>
      </c>
      <c r="D259" s="4" t="s">
        <v>1036</v>
      </c>
      <c r="E259" s="4">
        <v>34656478775</v>
      </c>
      <c r="F259" s="4" t="s">
        <v>27</v>
      </c>
      <c r="G259" s="32">
        <v>45888</v>
      </c>
      <c r="H259" s="4" t="s">
        <v>856</v>
      </c>
      <c r="I259" s="4" t="s">
        <v>886</v>
      </c>
      <c r="J259" s="68" t="b">
        <v>1</v>
      </c>
      <c r="K259" s="67" t="b">
        <v>1</v>
      </c>
      <c r="L259" s="68" t="b">
        <v>0</v>
      </c>
      <c r="M259" s="66" t="b">
        <v>0</v>
      </c>
      <c r="N259" s="67" t="b">
        <v>0</v>
      </c>
      <c r="O259" s="68" t="b">
        <v>0</v>
      </c>
      <c r="P259" s="66" t="b">
        <v>0</v>
      </c>
      <c r="Q259" s="67" t="b">
        <v>0</v>
      </c>
      <c r="R259" s="68" t="b">
        <v>0</v>
      </c>
      <c r="S259" s="8"/>
    </row>
    <row r="260" spans="1:24" ht="12.5">
      <c r="A260" s="4" t="s">
        <v>5</v>
      </c>
      <c r="B260" s="4"/>
      <c r="C260" s="4" t="s">
        <v>1037</v>
      </c>
      <c r="E260" s="4">
        <v>34633893651</v>
      </c>
      <c r="F260" s="4" t="s">
        <v>1038</v>
      </c>
      <c r="G260" s="32">
        <v>45888</v>
      </c>
      <c r="H260" s="4" t="s">
        <v>956</v>
      </c>
      <c r="I260" s="4" t="s">
        <v>459</v>
      </c>
      <c r="J260" s="68" t="b">
        <v>1</v>
      </c>
      <c r="K260" s="67" t="b">
        <v>1</v>
      </c>
      <c r="L260" s="68" t="b">
        <v>0</v>
      </c>
      <c r="M260" s="66" t="b">
        <v>0</v>
      </c>
      <c r="N260" s="67" t="b">
        <v>0</v>
      </c>
      <c r="O260" s="68" t="b">
        <v>0</v>
      </c>
      <c r="P260" s="66" t="b">
        <v>0</v>
      </c>
      <c r="Q260" s="67" t="b">
        <v>0</v>
      </c>
      <c r="R260" s="68" t="b">
        <v>0</v>
      </c>
      <c r="S260" s="8"/>
    </row>
    <row r="261" spans="1:24" ht="12.5">
      <c r="A261" s="4" t="s">
        <v>5</v>
      </c>
      <c r="B261" s="4" t="s">
        <v>119</v>
      </c>
      <c r="C261" s="4" t="s">
        <v>1039</v>
      </c>
      <c r="E261" s="4">
        <v>34620051549</v>
      </c>
      <c r="F261" s="4" t="s">
        <v>27</v>
      </c>
      <c r="G261" s="32">
        <v>45888</v>
      </c>
      <c r="H261" s="4" t="s">
        <v>956</v>
      </c>
      <c r="I261" s="4" t="s">
        <v>459</v>
      </c>
      <c r="J261" s="68" t="b">
        <v>1</v>
      </c>
      <c r="K261" s="67" t="b">
        <v>1</v>
      </c>
      <c r="L261" s="68" t="b">
        <v>0</v>
      </c>
      <c r="M261" s="66" t="b">
        <v>0</v>
      </c>
      <c r="N261" s="67" t="b">
        <v>1</v>
      </c>
      <c r="O261" s="68" t="b">
        <v>0</v>
      </c>
      <c r="P261" s="66" t="b">
        <v>0</v>
      </c>
      <c r="Q261" s="67" t="b">
        <v>0</v>
      </c>
      <c r="R261" s="68" t="b">
        <v>0</v>
      </c>
      <c r="S261" s="8"/>
    </row>
    <row r="262" spans="1:24" ht="12.5">
      <c r="A262" s="4" t="s">
        <v>5</v>
      </c>
      <c r="B262" s="4"/>
      <c r="C262" s="4" t="s">
        <v>1040</v>
      </c>
      <c r="D262" s="4" t="s">
        <v>1041</v>
      </c>
      <c r="E262" s="4">
        <f>543704843890</f>
        <v>543704843890</v>
      </c>
      <c r="F262" s="4" t="s">
        <v>56</v>
      </c>
      <c r="G262" s="32">
        <v>45888</v>
      </c>
      <c r="H262" s="4" t="s">
        <v>856</v>
      </c>
      <c r="I262" s="4" t="s">
        <v>459</v>
      </c>
      <c r="J262" s="66" t="b">
        <v>0</v>
      </c>
      <c r="K262" s="67" t="b">
        <v>1</v>
      </c>
      <c r="L262" s="68" t="b">
        <v>0</v>
      </c>
      <c r="M262" s="66" t="b">
        <v>0</v>
      </c>
      <c r="N262" s="67" t="b">
        <v>1</v>
      </c>
      <c r="O262" s="68" t="b">
        <v>0</v>
      </c>
      <c r="P262" s="66" t="b">
        <v>0</v>
      </c>
      <c r="Q262" s="67" t="b">
        <v>0</v>
      </c>
      <c r="R262" s="68" t="b">
        <v>0</v>
      </c>
      <c r="S262" s="8"/>
    </row>
    <row r="263" spans="1:24" ht="12.5">
      <c r="A263" s="81" t="s">
        <v>381</v>
      </c>
      <c r="B263" s="4"/>
      <c r="C263" s="4" t="s">
        <v>1042</v>
      </c>
      <c r="E263" s="4">
        <v>573174301002</v>
      </c>
      <c r="F263" s="4" t="s">
        <v>1043</v>
      </c>
      <c r="G263" s="32">
        <v>45888</v>
      </c>
      <c r="H263" s="4" t="s">
        <v>956</v>
      </c>
      <c r="I263" s="4" t="s">
        <v>980</v>
      </c>
      <c r="J263" s="68" t="b">
        <v>1</v>
      </c>
      <c r="K263" s="67" t="b">
        <v>1</v>
      </c>
      <c r="L263" s="68" t="b">
        <v>0</v>
      </c>
      <c r="M263" s="66" t="b">
        <v>0</v>
      </c>
      <c r="N263" s="67" t="b">
        <v>0</v>
      </c>
      <c r="O263" s="68" t="b">
        <v>0</v>
      </c>
      <c r="P263" s="66" t="b">
        <v>0</v>
      </c>
      <c r="Q263" s="67" t="b">
        <v>0</v>
      </c>
      <c r="R263" s="68" t="b">
        <v>0</v>
      </c>
      <c r="S263" s="8"/>
    </row>
    <row r="264" spans="1:24" ht="12.5">
      <c r="A264" s="4" t="s">
        <v>1044</v>
      </c>
      <c r="E264" s="4">
        <v>5492226490002</v>
      </c>
      <c r="F264" s="4" t="s">
        <v>1045</v>
      </c>
      <c r="G264" s="32">
        <v>45889</v>
      </c>
      <c r="H264" s="4" t="s">
        <v>956</v>
      </c>
      <c r="I264" s="4" t="s">
        <v>459</v>
      </c>
      <c r="J264" s="66" t="b">
        <v>0</v>
      </c>
      <c r="K264" s="67" t="b">
        <v>1</v>
      </c>
      <c r="L264" s="68" t="b">
        <v>0</v>
      </c>
      <c r="M264" s="66" t="b">
        <v>0</v>
      </c>
      <c r="N264" s="67" t="b">
        <v>1</v>
      </c>
      <c r="O264" s="68" t="b">
        <v>0</v>
      </c>
      <c r="P264" s="66" t="b">
        <v>0</v>
      </c>
      <c r="Q264" s="67" t="b">
        <v>0</v>
      </c>
      <c r="R264" s="68" t="b">
        <v>0</v>
      </c>
      <c r="S264" s="8"/>
    </row>
    <row r="265" spans="1:24" ht="12.5">
      <c r="A265" s="4" t="s">
        <v>54</v>
      </c>
      <c r="B265" s="4"/>
      <c r="C265" s="4" t="s">
        <v>1046</v>
      </c>
      <c r="E265" s="4">
        <v>573163521010</v>
      </c>
      <c r="F265" s="4" t="s">
        <v>83</v>
      </c>
      <c r="G265" s="32">
        <v>45889</v>
      </c>
      <c r="H265" s="4" t="s">
        <v>956</v>
      </c>
      <c r="I265" s="4" t="s">
        <v>886</v>
      </c>
      <c r="J265" s="68" t="b">
        <v>1</v>
      </c>
      <c r="K265" s="67" t="b">
        <v>1</v>
      </c>
      <c r="L265" s="68" t="b">
        <v>0</v>
      </c>
      <c r="M265" s="66" t="b">
        <v>0</v>
      </c>
      <c r="N265" s="67" t="b">
        <v>1</v>
      </c>
      <c r="O265" s="68" t="b">
        <v>0</v>
      </c>
      <c r="P265" s="66" t="b">
        <v>0</v>
      </c>
      <c r="Q265" s="67" t="b">
        <v>0</v>
      </c>
      <c r="R265" s="68" t="b">
        <v>0</v>
      </c>
      <c r="S265" s="8"/>
    </row>
    <row r="266" spans="1:24" ht="12.5">
      <c r="A266" s="4" t="s">
        <v>5</v>
      </c>
      <c r="B266" s="4"/>
      <c r="C266" s="4" t="s">
        <v>1047</v>
      </c>
      <c r="E266" s="4">
        <v>5215545328904</v>
      </c>
      <c r="F266" s="4" t="s">
        <v>584</v>
      </c>
      <c r="G266" s="32">
        <v>45889</v>
      </c>
      <c r="H266" s="4" t="s">
        <v>956</v>
      </c>
      <c r="I266" s="4" t="s">
        <v>886</v>
      </c>
      <c r="J266" s="66" t="b">
        <v>0</v>
      </c>
      <c r="K266" s="67" t="b">
        <v>1</v>
      </c>
      <c r="L266" s="68" t="b">
        <v>0</v>
      </c>
      <c r="M266" s="66" t="b">
        <v>0</v>
      </c>
      <c r="N266" s="67" t="b">
        <v>1</v>
      </c>
      <c r="O266" s="68" t="b">
        <v>0</v>
      </c>
      <c r="P266" s="66" t="b">
        <v>0</v>
      </c>
      <c r="Q266" s="67" t="b">
        <v>0</v>
      </c>
      <c r="R266" s="68" t="b">
        <v>0</v>
      </c>
      <c r="S266" s="8"/>
    </row>
    <row r="267" spans="1:24" ht="12.5">
      <c r="A267" s="4" t="s">
        <v>5</v>
      </c>
      <c r="B267" s="4"/>
      <c r="C267" s="4" t="s">
        <v>1048</v>
      </c>
      <c r="D267" s="4" t="s">
        <v>1049</v>
      </c>
      <c r="E267" s="4">
        <v>34658022676</v>
      </c>
      <c r="F267" s="4" t="s">
        <v>97</v>
      </c>
      <c r="G267" s="32">
        <v>45891</v>
      </c>
      <c r="H267" s="4" t="s">
        <v>856</v>
      </c>
      <c r="I267" s="4" t="s">
        <v>459</v>
      </c>
      <c r="J267" s="66" t="b">
        <v>0</v>
      </c>
      <c r="K267" s="67" t="b">
        <v>1</v>
      </c>
      <c r="L267" s="68" t="b">
        <v>1</v>
      </c>
      <c r="M267" s="66" t="b">
        <v>0</v>
      </c>
      <c r="N267" s="67" t="b">
        <v>0</v>
      </c>
      <c r="O267" s="68" t="b">
        <v>0</v>
      </c>
      <c r="P267" s="66" t="b">
        <v>0</v>
      </c>
      <c r="Q267" s="67" t="b">
        <v>0</v>
      </c>
      <c r="R267" s="68" t="b">
        <v>0</v>
      </c>
      <c r="S267" s="8"/>
    </row>
    <row r="268" spans="1:24" ht="14">
      <c r="A268" s="4" t="s">
        <v>5</v>
      </c>
      <c r="B268" s="35"/>
      <c r="C268" s="35" t="s">
        <v>51</v>
      </c>
      <c r="F268" s="4" t="s">
        <v>52</v>
      </c>
      <c r="G268" s="32">
        <v>45891</v>
      </c>
      <c r="H268" s="4" t="s">
        <v>856</v>
      </c>
      <c r="I268" s="4" t="s">
        <v>448</v>
      </c>
      <c r="J268" s="66" t="b">
        <v>0</v>
      </c>
      <c r="K268" s="67" t="b">
        <v>0</v>
      </c>
      <c r="L268" s="68" t="b">
        <v>0</v>
      </c>
      <c r="M268" s="66" t="b">
        <v>0</v>
      </c>
      <c r="N268" s="67" t="b">
        <v>0</v>
      </c>
      <c r="O268" s="68" t="b">
        <v>0</v>
      </c>
      <c r="P268" s="66" t="b">
        <v>0</v>
      </c>
      <c r="Q268" s="67" t="b">
        <v>0</v>
      </c>
      <c r="R268" s="68" t="b">
        <v>0</v>
      </c>
      <c r="S268" s="4" t="s">
        <v>34</v>
      </c>
      <c r="T268" s="5">
        <v>45891</v>
      </c>
      <c r="U268" s="2">
        <v>140</v>
      </c>
      <c r="V268" s="4">
        <v>0</v>
      </c>
      <c r="W268" s="4">
        <v>1</v>
      </c>
      <c r="X268" s="8">
        <v>45658</v>
      </c>
    </row>
    <row r="269" spans="1:24" ht="12.5">
      <c r="A269" s="4" t="s">
        <v>5</v>
      </c>
      <c r="B269" s="4"/>
      <c r="C269" s="4" t="s">
        <v>1050</v>
      </c>
      <c r="E269" s="4">
        <v>543834683439</v>
      </c>
      <c r="F269" s="4" t="s">
        <v>988</v>
      </c>
      <c r="G269" s="32">
        <v>45891</v>
      </c>
      <c r="H269" s="4" t="s">
        <v>979</v>
      </c>
      <c r="I269" s="4"/>
      <c r="J269" s="66" t="b">
        <v>0</v>
      </c>
      <c r="K269" s="67" t="b">
        <v>0</v>
      </c>
      <c r="L269" s="68" t="b">
        <v>0</v>
      </c>
      <c r="M269" s="66" t="b">
        <v>0</v>
      </c>
      <c r="N269" s="67" t="b">
        <v>0</v>
      </c>
      <c r="O269" s="68" t="b">
        <v>0</v>
      </c>
      <c r="P269" s="66" t="b">
        <v>0</v>
      </c>
      <c r="Q269" s="67" t="b">
        <v>0</v>
      </c>
      <c r="R269" s="68" t="b">
        <v>0</v>
      </c>
      <c r="S269" s="8"/>
    </row>
    <row r="270" spans="1:24" ht="12.5">
      <c r="A270" s="4" t="s">
        <v>5</v>
      </c>
      <c r="B270" s="4"/>
      <c r="C270" s="4" t="s">
        <v>1051</v>
      </c>
      <c r="D270" s="4" t="s">
        <v>1052</v>
      </c>
      <c r="E270" s="4">
        <v>34699455545</v>
      </c>
      <c r="F270" s="4" t="s">
        <v>97</v>
      </c>
      <c r="G270" s="32">
        <v>45891</v>
      </c>
      <c r="H270" s="4" t="s">
        <v>856</v>
      </c>
      <c r="I270" s="4" t="s">
        <v>459</v>
      </c>
      <c r="J270" s="68" t="b">
        <v>1</v>
      </c>
      <c r="K270" s="67" t="b">
        <v>1</v>
      </c>
      <c r="L270" s="68" t="b">
        <v>0</v>
      </c>
      <c r="M270" s="66" t="b">
        <v>0</v>
      </c>
      <c r="N270" s="67" t="b">
        <v>0</v>
      </c>
      <c r="O270" s="68" t="b">
        <v>0</v>
      </c>
      <c r="P270" s="66" t="b">
        <v>0</v>
      </c>
      <c r="Q270" s="67" t="b">
        <v>0</v>
      </c>
      <c r="R270" s="68" t="b">
        <v>0</v>
      </c>
      <c r="S270" s="8"/>
    </row>
    <row r="271" spans="1:24" ht="12.5">
      <c r="A271" s="4" t="s">
        <v>5</v>
      </c>
      <c r="B271" s="4"/>
      <c r="C271" s="4" t="s">
        <v>1053</v>
      </c>
      <c r="D271" s="4" t="s">
        <v>1054</v>
      </c>
      <c r="E271" s="4">
        <v>593995237981</v>
      </c>
      <c r="F271" s="4" t="s">
        <v>1055</v>
      </c>
      <c r="G271" s="32">
        <v>45891</v>
      </c>
      <c r="H271" s="4" t="s">
        <v>856</v>
      </c>
      <c r="I271" s="4" t="s">
        <v>459</v>
      </c>
      <c r="J271" s="68" t="b">
        <v>0</v>
      </c>
      <c r="K271" s="67" t="b">
        <v>1</v>
      </c>
      <c r="L271" s="68" t="b">
        <v>0</v>
      </c>
      <c r="M271" s="66" t="b">
        <v>0</v>
      </c>
      <c r="N271" s="67" t="b">
        <v>0</v>
      </c>
      <c r="O271" s="68" t="b">
        <v>0</v>
      </c>
      <c r="P271" s="66" t="b">
        <v>0</v>
      </c>
      <c r="Q271" s="67" t="b">
        <v>0</v>
      </c>
      <c r="R271" s="68" t="b">
        <v>0</v>
      </c>
      <c r="S271" s="8"/>
    </row>
    <row r="272" spans="1:24" ht="12.5">
      <c r="A272" s="4" t="s">
        <v>5</v>
      </c>
      <c r="B272" s="4"/>
      <c r="C272" s="4" t="s">
        <v>53</v>
      </c>
      <c r="E272" s="4">
        <v>50242244580</v>
      </c>
      <c r="F272" s="6" t="s">
        <v>43</v>
      </c>
      <c r="G272" s="32">
        <v>45891</v>
      </c>
      <c r="H272" s="4" t="s">
        <v>956</v>
      </c>
      <c r="I272" s="4" t="s">
        <v>448</v>
      </c>
      <c r="J272" s="68" t="b">
        <v>0</v>
      </c>
      <c r="K272" s="67" t="b">
        <v>0</v>
      </c>
      <c r="L272" s="68" t="b">
        <v>0</v>
      </c>
      <c r="M272" s="66" t="b">
        <v>0</v>
      </c>
      <c r="N272" s="67" t="b">
        <v>0</v>
      </c>
      <c r="O272" s="68" t="b">
        <v>0</v>
      </c>
      <c r="P272" s="66" t="b">
        <v>0</v>
      </c>
      <c r="Q272" s="67" t="b">
        <v>0</v>
      </c>
      <c r="R272" s="68" t="b">
        <v>0</v>
      </c>
      <c r="S272" s="4" t="s">
        <v>945</v>
      </c>
      <c r="T272" s="5">
        <v>45891</v>
      </c>
      <c r="U272" s="2">
        <v>203</v>
      </c>
      <c r="V272" s="7">
        <v>0.3</v>
      </c>
      <c r="W272" s="4">
        <v>1</v>
      </c>
      <c r="X272" s="8">
        <v>45658</v>
      </c>
    </row>
    <row r="273" spans="1:24" ht="12.5">
      <c r="A273" s="4" t="s">
        <v>5</v>
      </c>
      <c r="B273" s="4"/>
      <c r="C273" s="4" t="s">
        <v>1056</v>
      </c>
      <c r="D273" s="4" t="s">
        <v>1057</v>
      </c>
      <c r="E273" s="4">
        <v>56949417171</v>
      </c>
      <c r="F273" s="4" t="s">
        <v>71</v>
      </c>
      <c r="G273" s="32">
        <v>45893</v>
      </c>
      <c r="H273" s="4" t="s">
        <v>856</v>
      </c>
      <c r="I273" s="4" t="s">
        <v>459</v>
      </c>
      <c r="J273" s="68" t="b">
        <v>0</v>
      </c>
      <c r="K273" s="67" t="b">
        <v>1</v>
      </c>
      <c r="L273" s="68" t="b">
        <v>0</v>
      </c>
      <c r="M273" s="66" t="b">
        <v>0</v>
      </c>
      <c r="N273" s="67" t="b">
        <v>1</v>
      </c>
      <c r="O273" s="68" t="b">
        <v>0</v>
      </c>
      <c r="P273" s="66" t="b">
        <v>0</v>
      </c>
      <c r="Q273" s="67" t="b">
        <v>1</v>
      </c>
      <c r="R273" s="68" t="b">
        <v>0</v>
      </c>
      <c r="S273" s="4"/>
      <c r="T273" s="5"/>
      <c r="U273" s="2"/>
      <c r="V273" s="7"/>
      <c r="W273" s="4"/>
      <c r="X273" s="8"/>
    </row>
    <row r="274" spans="1:24" ht="12.5">
      <c r="A274" s="4" t="s">
        <v>5</v>
      </c>
      <c r="B274" s="4" t="s">
        <v>119</v>
      </c>
      <c r="C274" s="4" t="s">
        <v>1058</v>
      </c>
      <c r="D274" s="4" t="s">
        <v>1059</v>
      </c>
      <c r="E274" s="4">
        <v>34684329451</v>
      </c>
      <c r="F274" s="4" t="s">
        <v>27</v>
      </c>
      <c r="G274" s="32">
        <v>45894</v>
      </c>
      <c r="H274" s="4" t="s">
        <v>856</v>
      </c>
      <c r="I274" s="4" t="s">
        <v>886</v>
      </c>
      <c r="J274" s="68" t="b">
        <v>1</v>
      </c>
      <c r="K274" s="67" t="b">
        <v>1</v>
      </c>
      <c r="L274" s="68" t="b">
        <v>0</v>
      </c>
      <c r="M274" s="66" t="b">
        <v>0</v>
      </c>
      <c r="N274" s="67" t="b">
        <v>1</v>
      </c>
      <c r="O274" s="68" t="b">
        <v>0</v>
      </c>
      <c r="P274" s="66" t="b">
        <v>0</v>
      </c>
      <c r="Q274" s="67" t="b">
        <v>0</v>
      </c>
      <c r="R274" s="68" t="b">
        <v>0</v>
      </c>
      <c r="S274" s="4"/>
      <c r="T274" s="5"/>
      <c r="U274" s="2"/>
      <c r="V274" s="7"/>
      <c r="W274" s="4"/>
      <c r="X274" s="8"/>
    </row>
    <row r="275" spans="1:24" ht="12.5">
      <c r="A275" s="4" t="s">
        <v>5</v>
      </c>
      <c r="B275" s="4"/>
      <c r="C275" s="4" t="s">
        <v>1060</v>
      </c>
      <c r="D275" s="4" t="s">
        <v>1061</v>
      </c>
      <c r="E275" s="4">
        <v>34626225318</v>
      </c>
      <c r="F275" s="4" t="s">
        <v>66</v>
      </c>
      <c r="G275" s="32">
        <v>45894</v>
      </c>
      <c r="H275" s="4" t="s">
        <v>856</v>
      </c>
      <c r="I275" s="4" t="s">
        <v>459</v>
      </c>
      <c r="J275" s="68" t="b">
        <v>1</v>
      </c>
      <c r="K275" s="67" t="b">
        <v>1</v>
      </c>
      <c r="L275" s="68" t="b">
        <v>0</v>
      </c>
      <c r="M275" s="66" t="b">
        <v>0</v>
      </c>
      <c r="N275" s="67" t="b">
        <v>0</v>
      </c>
      <c r="O275" s="68" t="b">
        <v>0</v>
      </c>
      <c r="P275" s="66" t="b">
        <v>0</v>
      </c>
      <c r="Q275" s="67" t="b">
        <v>0</v>
      </c>
      <c r="R275" s="68" t="b">
        <v>0</v>
      </c>
      <c r="S275" s="4"/>
      <c r="T275" s="5"/>
      <c r="U275" s="2"/>
      <c r="V275" s="7"/>
      <c r="W275" s="4"/>
      <c r="X275" s="8"/>
    </row>
    <row r="276" spans="1:24" ht="12.5">
      <c r="A276" s="4" t="s">
        <v>5</v>
      </c>
      <c r="B276" s="4"/>
      <c r="C276" s="4" t="s">
        <v>1062</v>
      </c>
      <c r="D276" s="4"/>
      <c r="E276" s="4">
        <v>4917687095859</v>
      </c>
      <c r="F276" s="4" t="s">
        <v>172</v>
      </c>
      <c r="G276" s="32">
        <v>45894</v>
      </c>
      <c r="H276" s="4" t="s">
        <v>956</v>
      </c>
      <c r="I276" s="4" t="s">
        <v>459</v>
      </c>
      <c r="J276" s="68" t="b">
        <v>0</v>
      </c>
      <c r="K276" s="67" t="b">
        <v>1</v>
      </c>
      <c r="L276" s="68" t="b">
        <v>0</v>
      </c>
      <c r="M276" s="66" t="b">
        <v>0</v>
      </c>
      <c r="N276" s="67" t="b">
        <v>1</v>
      </c>
      <c r="O276" s="68" t="b">
        <v>0</v>
      </c>
      <c r="P276" s="66" t="b">
        <v>0</v>
      </c>
      <c r="Q276" s="67" t="b">
        <v>0</v>
      </c>
      <c r="R276" s="68" t="b">
        <v>0</v>
      </c>
      <c r="S276" s="4"/>
      <c r="T276" s="5"/>
      <c r="U276" s="2"/>
      <c r="V276" s="7"/>
      <c r="W276" s="4"/>
      <c r="X276" s="8"/>
    </row>
    <row r="277" spans="1:24" ht="12.5">
      <c r="A277" s="4" t="s">
        <v>5</v>
      </c>
      <c r="B277" s="4"/>
      <c r="C277" s="4" t="s">
        <v>1063</v>
      </c>
      <c r="D277" s="4" t="s">
        <v>1064</v>
      </c>
      <c r="E277" s="4">
        <v>525527416240</v>
      </c>
      <c r="F277" s="4" t="s">
        <v>1055</v>
      </c>
      <c r="G277" s="32">
        <v>45895</v>
      </c>
      <c r="H277" s="4" t="s">
        <v>856</v>
      </c>
      <c r="I277" s="4" t="s">
        <v>459</v>
      </c>
      <c r="J277" s="68" t="b">
        <v>0</v>
      </c>
      <c r="K277" s="67" t="b">
        <v>1</v>
      </c>
      <c r="L277" s="68" t="b">
        <v>0</v>
      </c>
      <c r="M277" s="66" t="b">
        <v>0</v>
      </c>
      <c r="N277" s="67" t="b">
        <v>0</v>
      </c>
      <c r="O277" s="68" t="b">
        <v>0</v>
      </c>
      <c r="P277" s="66" t="b">
        <v>0</v>
      </c>
      <c r="Q277" s="67" t="b">
        <v>0</v>
      </c>
      <c r="R277" s="68" t="b">
        <v>0</v>
      </c>
      <c r="S277" s="4"/>
      <c r="T277" s="5"/>
      <c r="U277" s="2"/>
      <c r="V277" s="7"/>
      <c r="W277" s="4"/>
      <c r="X277" s="8"/>
    </row>
    <row r="278" spans="1:24" ht="12.5">
      <c r="A278" s="4" t="s">
        <v>5</v>
      </c>
      <c r="B278" s="4" t="s">
        <v>119</v>
      </c>
      <c r="C278" s="4" t="s">
        <v>1065</v>
      </c>
      <c r="D278" s="4" t="s">
        <v>1066</v>
      </c>
      <c r="E278" s="4">
        <v>34638815198</v>
      </c>
      <c r="F278" s="4" t="s">
        <v>27</v>
      </c>
      <c r="G278" s="32">
        <v>45896</v>
      </c>
      <c r="H278" s="4" t="s">
        <v>856</v>
      </c>
      <c r="I278" s="4" t="s">
        <v>459</v>
      </c>
      <c r="J278" s="68" t="b">
        <v>0</v>
      </c>
      <c r="K278" s="67" t="b">
        <v>1</v>
      </c>
      <c r="L278" s="68" t="b">
        <v>0</v>
      </c>
      <c r="M278" s="66" t="b">
        <v>0</v>
      </c>
      <c r="N278" s="67" t="b">
        <v>1</v>
      </c>
      <c r="O278" s="68" t="b">
        <v>0</v>
      </c>
      <c r="P278" s="66" t="b">
        <v>0</v>
      </c>
      <c r="Q278" s="67" t="b">
        <v>0</v>
      </c>
      <c r="R278" s="68" t="b">
        <v>0</v>
      </c>
      <c r="S278" s="4"/>
      <c r="T278" s="5"/>
      <c r="U278" s="2"/>
      <c r="V278" s="7"/>
      <c r="W278" s="4"/>
      <c r="X278" s="8"/>
    </row>
    <row r="279" spans="1:24" ht="12.5">
      <c r="A279" s="4" t="s">
        <v>5</v>
      </c>
      <c r="B279" s="4"/>
      <c r="C279" s="4" t="s">
        <v>1067</v>
      </c>
      <c r="D279" s="4" t="s">
        <v>1066</v>
      </c>
      <c r="E279" s="4">
        <v>34643348902</v>
      </c>
      <c r="F279" s="4" t="s">
        <v>1068</v>
      </c>
      <c r="G279" s="32">
        <v>45896</v>
      </c>
      <c r="H279" s="4" t="s">
        <v>856</v>
      </c>
      <c r="I279" s="4" t="s">
        <v>459</v>
      </c>
      <c r="J279" s="68" t="b">
        <v>0</v>
      </c>
      <c r="K279" s="67" t="b">
        <v>1</v>
      </c>
      <c r="L279" s="68" t="b">
        <v>0</v>
      </c>
      <c r="M279" s="66" t="b">
        <v>0</v>
      </c>
      <c r="N279" s="67" t="b">
        <v>1</v>
      </c>
      <c r="O279" s="68" t="b">
        <v>0</v>
      </c>
      <c r="P279" s="66" t="b">
        <v>0</v>
      </c>
      <c r="Q279" s="67" t="b">
        <v>0</v>
      </c>
      <c r="R279" s="68" t="b">
        <v>0</v>
      </c>
      <c r="S279" s="4"/>
      <c r="T279" s="5"/>
      <c r="U279" s="2"/>
      <c r="V279" s="7"/>
      <c r="W279" s="4"/>
      <c r="X279" s="8"/>
    </row>
    <row r="280" spans="1:24" ht="12.5">
      <c r="A280" s="4" t="s">
        <v>5</v>
      </c>
      <c r="B280" s="4"/>
      <c r="C280" s="4" t="s">
        <v>1069</v>
      </c>
      <c r="D280" s="4" t="s">
        <v>1070</v>
      </c>
      <c r="E280" s="4">
        <v>573135395362</v>
      </c>
      <c r="F280" s="4" t="s">
        <v>1071</v>
      </c>
      <c r="G280" s="32">
        <v>45896</v>
      </c>
      <c r="H280" s="4" t="s">
        <v>856</v>
      </c>
      <c r="I280" s="4" t="s">
        <v>459</v>
      </c>
      <c r="J280" s="68" t="b">
        <v>0</v>
      </c>
      <c r="K280" s="67" t="b">
        <v>1</v>
      </c>
      <c r="L280" s="68" t="b">
        <v>0</v>
      </c>
      <c r="M280" s="66" t="b">
        <v>0</v>
      </c>
      <c r="N280" s="67" t="b">
        <v>1</v>
      </c>
      <c r="O280" s="68" t="b">
        <v>0</v>
      </c>
      <c r="P280" s="66" t="b">
        <v>0</v>
      </c>
      <c r="Q280" s="67" t="b">
        <v>0</v>
      </c>
      <c r="R280" s="68" t="b">
        <v>0</v>
      </c>
      <c r="S280" s="4"/>
      <c r="T280" s="5"/>
      <c r="U280" s="2"/>
      <c r="V280" s="7"/>
      <c r="W280" s="4"/>
      <c r="X280" s="8"/>
    </row>
    <row r="281" spans="1:24" ht="12.5">
      <c r="A281" s="4" t="s">
        <v>54</v>
      </c>
      <c r="B281" s="4"/>
      <c r="C281" s="4" t="s">
        <v>55</v>
      </c>
      <c r="D281" s="4"/>
      <c r="E281" s="4">
        <v>573224486714</v>
      </c>
      <c r="F281" s="4" t="s">
        <v>56</v>
      </c>
      <c r="G281" s="32">
        <v>45896</v>
      </c>
      <c r="H281" s="4" t="s">
        <v>956</v>
      </c>
      <c r="I281" s="4" t="s">
        <v>448</v>
      </c>
      <c r="J281" s="66" t="b">
        <v>0</v>
      </c>
      <c r="K281" s="67" t="b">
        <v>1</v>
      </c>
      <c r="L281" s="68" t="b">
        <v>0</v>
      </c>
      <c r="M281" s="66" t="b">
        <v>0</v>
      </c>
      <c r="N281" s="67" t="b">
        <v>0</v>
      </c>
      <c r="O281" s="68" t="b">
        <v>0</v>
      </c>
      <c r="P281" s="66" t="b">
        <v>0</v>
      </c>
      <c r="Q281" s="67" t="b">
        <v>0</v>
      </c>
      <c r="R281" s="68" t="b">
        <v>0</v>
      </c>
      <c r="S281" s="4" t="s">
        <v>945</v>
      </c>
      <c r="T281" s="5">
        <v>45897</v>
      </c>
      <c r="U281" s="2">
        <v>95</v>
      </c>
      <c r="V281" s="7">
        <v>0</v>
      </c>
      <c r="W281" s="4">
        <v>1</v>
      </c>
      <c r="X281" s="8">
        <v>45658</v>
      </c>
    </row>
    <row r="282" spans="1:24" ht="12.5">
      <c r="A282" s="4" t="s">
        <v>5</v>
      </c>
      <c r="B282" s="4"/>
      <c r="C282" s="4" t="s">
        <v>57</v>
      </c>
      <c r="D282" s="4" t="s">
        <v>58</v>
      </c>
      <c r="E282" s="4">
        <v>34616115836</v>
      </c>
      <c r="F282" s="4" t="s">
        <v>59</v>
      </c>
      <c r="G282" s="32">
        <v>45897</v>
      </c>
      <c r="H282" s="4" t="s">
        <v>856</v>
      </c>
      <c r="I282" s="4" t="s">
        <v>448</v>
      </c>
      <c r="J282" s="66" t="b">
        <v>1</v>
      </c>
      <c r="K282" s="67" t="b">
        <v>1</v>
      </c>
      <c r="L282" s="68" t="b">
        <v>0</v>
      </c>
      <c r="M282" s="66" t="b">
        <v>0</v>
      </c>
      <c r="N282" s="67" t="b">
        <v>0</v>
      </c>
      <c r="O282" s="68" t="b">
        <v>0</v>
      </c>
      <c r="P282" s="66" t="b">
        <v>0</v>
      </c>
      <c r="Q282" s="67" t="b">
        <v>0</v>
      </c>
      <c r="R282" s="68" t="b">
        <v>0</v>
      </c>
      <c r="S282" s="4" t="s">
        <v>945</v>
      </c>
      <c r="T282" s="5">
        <v>45898</v>
      </c>
      <c r="U282" s="2">
        <v>179.4</v>
      </c>
      <c r="V282" s="7">
        <v>0.4</v>
      </c>
      <c r="W282" s="4">
        <v>1</v>
      </c>
      <c r="X282" s="8">
        <v>45658</v>
      </c>
    </row>
    <row r="283" spans="1:24" ht="12.5">
      <c r="A283" s="4" t="s">
        <v>5</v>
      </c>
      <c r="B283" s="4"/>
      <c r="C283" s="4" t="s">
        <v>1072</v>
      </c>
      <c r="D283" s="4" t="s">
        <v>1073</v>
      </c>
      <c r="E283" s="4">
        <v>56976224525</v>
      </c>
      <c r="F283" s="4" t="s">
        <v>386</v>
      </c>
      <c r="G283" s="32">
        <v>45897</v>
      </c>
      <c r="H283" s="4" t="s">
        <v>856</v>
      </c>
      <c r="I283" s="4" t="s">
        <v>459</v>
      </c>
      <c r="J283" s="68" t="b">
        <v>0</v>
      </c>
      <c r="K283" s="67" t="b">
        <v>1</v>
      </c>
      <c r="L283" s="68" t="b">
        <v>0</v>
      </c>
      <c r="M283" s="66" t="b">
        <v>0</v>
      </c>
      <c r="N283" s="67" t="b">
        <v>1</v>
      </c>
      <c r="O283" s="68" t="b">
        <v>0</v>
      </c>
      <c r="P283" s="66" t="b">
        <v>0</v>
      </c>
      <c r="Q283" s="67" t="b">
        <v>0</v>
      </c>
      <c r="R283" s="68" t="b">
        <v>0</v>
      </c>
      <c r="S283" s="4"/>
      <c r="T283" s="5"/>
      <c r="U283" s="2"/>
      <c r="V283" s="7"/>
      <c r="W283" s="4"/>
      <c r="X283" s="8"/>
    </row>
    <row r="284" spans="1:24" ht="12.5">
      <c r="A284" s="4" t="s">
        <v>5</v>
      </c>
      <c r="B284" s="4"/>
      <c r="C284" s="4" t="s">
        <v>1074</v>
      </c>
      <c r="D284" s="4" t="s">
        <v>1075</v>
      </c>
      <c r="E284" s="4">
        <v>50762973288</v>
      </c>
      <c r="F284" s="4" t="s">
        <v>1055</v>
      </c>
      <c r="G284" s="32">
        <v>45897</v>
      </c>
      <c r="H284" s="4" t="s">
        <v>856</v>
      </c>
      <c r="I284" s="4" t="s">
        <v>459</v>
      </c>
      <c r="J284" s="68" t="b">
        <v>0</v>
      </c>
      <c r="K284" s="67" t="b">
        <v>1</v>
      </c>
      <c r="L284" s="68" t="b">
        <v>0</v>
      </c>
      <c r="M284" s="66" t="b">
        <v>0</v>
      </c>
      <c r="N284" s="67" t="b">
        <v>1</v>
      </c>
      <c r="O284" s="68" t="b">
        <v>0</v>
      </c>
      <c r="P284" s="66" t="b">
        <v>0</v>
      </c>
      <c r="Q284" s="67" t="b">
        <v>0</v>
      </c>
      <c r="R284" s="68" t="b">
        <v>0</v>
      </c>
      <c r="S284" s="4"/>
      <c r="T284" s="5"/>
      <c r="U284" s="2"/>
      <c r="V284" s="7"/>
      <c r="W284" s="4"/>
      <c r="X284" s="8"/>
    </row>
    <row r="285" spans="1:24" ht="12.5">
      <c r="A285" s="4" t="s">
        <v>5</v>
      </c>
      <c r="B285" s="4"/>
      <c r="C285" s="4" t="s">
        <v>1076</v>
      </c>
      <c r="D285" s="4" t="s">
        <v>1077</v>
      </c>
      <c r="E285" s="4">
        <v>15128844490</v>
      </c>
      <c r="F285" s="4" t="s">
        <v>702</v>
      </c>
      <c r="G285" s="32">
        <v>45899</v>
      </c>
      <c r="H285" s="4" t="s">
        <v>856</v>
      </c>
      <c r="I285" s="4" t="s">
        <v>459</v>
      </c>
      <c r="J285" s="68" t="b">
        <v>0</v>
      </c>
      <c r="K285" s="67" t="b">
        <v>1</v>
      </c>
      <c r="L285" s="68" t="b">
        <v>0</v>
      </c>
      <c r="M285" s="66" t="b">
        <v>0</v>
      </c>
      <c r="N285" s="67" t="b">
        <v>0</v>
      </c>
      <c r="O285" s="68" t="b">
        <v>0</v>
      </c>
      <c r="P285" s="66" t="b">
        <v>0</v>
      </c>
      <c r="Q285" s="67" t="b">
        <v>0</v>
      </c>
      <c r="R285" s="68" t="b">
        <v>0</v>
      </c>
      <c r="S285" s="4"/>
      <c r="T285" s="5"/>
      <c r="U285" s="2"/>
      <c r="V285" s="7"/>
      <c r="W285" s="4"/>
      <c r="X285" s="8"/>
    </row>
    <row r="286" spans="1:24" ht="12.5">
      <c r="A286" s="4" t="s">
        <v>5</v>
      </c>
      <c r="B286" s="4"/>
      <c r="C286" s="4" t="s">
        <v>112</v>
      </c>
      <c r="D286" s="4" t="s">
        <v>113</v>
      </c>
      <c r="E286" s="4">
        <v>34646264838</v>
      </c>
      <c r="F286" s="4" t="s">
        <v>8</v>
      </c>
      <c r="G286" s="32">
        <v>45899</v>
      </c>
      <c r="H286" s="4" t="s">
        <v>856</v>
      </c>
      <c r="I286" s="4" t="s">
        <v>448</v>
      </c>
      <c r="J286" s="66" t="b">
        <v>1</v>
      </c>
      <c r="K286" s="67" t="b">
        <v>1</v>
      </c>
      <c r="L286" s="68" t="b">
        <v>0</v>
      </c>
      <c r="M286" s="66" t="b">
        <v>1</v>
      </c>
      <c r="N286" s="67" t="b">
        <v>0</v>
      </c>
      <c r="O286" s="68" t="b">
        <v>0</v>
      </c>
      <c r="P286" s="66" t="b">
        <v>0</v>
      </c>
      <c r="Q286" s="67" t="b">
        <v>0</v>
      </c>
      <c r="R286" s="68" t="b">
        <v>0</v>
      </c>
      <c r="S286" s="4" t="s">
        <v>945</v>
      </c>
      <c r="T286" s="5"/>
      <c r="U286" s="2">
        <v>149.5</v>
      </c>
      <c r="V286" s="7">
        <v>0.5</v>
      </c>
      <c r="W286" s="4">
        <v>1</v>
      </c>
      <c r="X286" s="8">
        <v>45658</v>
      </c>
    </row>
    <row r="287" spans="1:24" ht="12.5">
      <c r="A287" s="4" t="s">
        <v>5</v>
      </c>
      <c r="B287" s="4"/>
      <c r="C287" s="4" t="s">
        <v>1078</v>
      </c>
      <c r="D287" s="4" t="s">
        <v>1079</v>
      </c>
      <c r="E287" s="4">
        <v>593963965311</v>
      </c>
      <c r="F287" s="4" t="s">
        <v>191</v>
      </c>
      <c r="G287" s="32">
        <v>45900</v>
      </c>
      <c r="H287" s="4" t="s">
        <v>856</v>
      </c>
      <c r="I287" s="4" t="s">
        <v>459</v>
      </c>
      <c r="J287" s="68" t="b">
        <v>0</v>
      </c>
      <c r="K287" s="67" t="b">
        <v>1</v>
      </c>
      <c r="L287" s="68" t="b">
        <v>0</v>
      </c>
      <c r="M287" s="66" t="b">
        <v>0</v>
      </c>
      <c r="N287" s="67" t="b">
        <v>0</v>
      </c>
      <c r="O287" s="68" t="b">
        <v>0</v>
      </c>
      <c r="P287" s="66" t="b">
        <v>0</v>
      </c>
      <c r="Q287" s="67" t="b">
        <v>0</v>
      </c>
      <c r="R287" s="68" t="b">
        <v>0</v>
      </c>
      <c r="S287" s="4"/>
      <c r="T287" s="5"/>
      <c r="U287" s="2"/>
      <c r="V287" s="7"/>
      <c r="W287" s="4"/>
      <c r="X287" s="8"/>
    </row>
    <row r="288" spans="1:24" ht="12.5">
      <c r="A288" s="4" t="s">
        <v>5</v>
      </c>
      <c r="B288" s="4"/>
      <c r="C288" s="4" t="s">
        <v>64</v>
      </c>
      <c r="D288" s="4" t="s">
        <v>65</v>
      </c>
      <c r="E288" s="4">
        <v>34633477691</v>
      </c>
      <c r="F288" s="4" t="s">
        <v>66</v>
      </c>
      <c r="G288" s="32">
        <v>45899</v>
      </c>
      <c r="H288" s="4" t="s">
        <v>856</v>
      </c>
      <c r="I288" s="4" t="s">
        <v>448</v>
      </c>
      <c r="J288" s="68" t="b">
        <v>0</v>
      </c>
      <c r="K288" s="67" t="b">
        <v>1</v>
      </c>
      <c r="L288" s="68" t="b">
        <v>0</v>
      </c>
      <c r="M288" s="66" t="b">
        <v>0</v>
      </c>
      <c r="N288" s="67" t="b">
        <v>0</v>
      </c>
      <c r="O288" s="68" t="b">
        <v>0</v>
      </c>
      <c r="P288" s="66" t="b">
        <v>0</v>
      </c>
      <c r="Q288" s="67" t="b">
        <v>0</v>
      </c>
      <c r="R288" s="68" t="b">
        <v>0</v>
      </c>
      <c r="S288" s="4"/>
      <c r="T288" s="5">
        <v>45905</v>
      </c>
      <c r="U288" s="2">
        <v>192.5</v>
      </c>
      <c r="V288" s="7">
        <v>0.3</v>
      </c>
      <c r="W288" s="4">
        <v>1</v>
      </c>
      <c r="X288" s="8">
        <v>45658</v>
      </c>
    </row>
    <row r="289" spans="1:24" ht="12.5">
      <c r="A289" s="4" t="s">
        <v>5</v>
      </c>
      <c r="B289" s="4"/>
      <c r="C289" s="4" t="s">
        <v>1080</v>
      </c>
      <c r="D289" s="4" t="s">
        <v>1081</v>
      </c>
      <c r="E289" s="4">
        <v>5548991720332</v>
      </c>
      <c r="F289" s="4" t="s">
        <v>66</v>
      </c>
      <c r="G289" s="32">
        <v>45900</v>
      </c>
      <c r="H289" s="4" t="s">
        <v>856</v>
      </c>
      <c r="I289" s="4" t="s">
        <v>459</v>
      </c>
      <c r="J289" s="68" t="b">
        <v>0</v>
      </c>
      <c r="K289" s="67" t="b">
        <v>1</v>
      </c>
      <c r="L289" s="68" t="b">
        <v>0</v>
      </c>
      <c r="M289" s="66" t="b">
        <v>0</v>
      </c>
      <c r="N289" s="67" t="b">
        <v>0</v>
      </c>
      <c r="O289" s="68" t="b">
        <v>0</v>
      </c>
      <c r="P289" s="66" t="b">
        <v>0</v>
      </c>
      <c r="Q289" s="67" t="b">
        <v>0</v>
      </c>
      <c r="R289" s="68" t="b">
        <v>0</v>
      </c>
      <c r="S289" s="4"/>
      <c r="T289" s="5"/>
      <c r="U289" s="2"/>
      <c r="V289" s="7"/>
      <c r="W289" s="4"/>
      <c r="X289" s="8"/>
    </row>
    <row r="290" spans="1:24" ht="12.5">
      <c r="A290" s="4" t="s">
        <v>5</v>
      </c>
      <c r="B290" s="4"/>
      <c r="C290" s="4" t="s">
        <v>1082</v>
      </c>
      <c r="D290" s="4" t="s">
        <v>1083</v>
      </c>
      <c r="E290" s="4">
        <v>50767473295</v>
      </c>
      <c r="F290" s="4" t="s">
        <v>284</v>
      </c>
      <c r="G290" s="32">
        <v>45899</v>
      </c>
      <c r="H290" s="4" t="s">
        <v>856</v>
      </c>
      <c r="I290" s="4" t="s">
        <v>459</v>
      </c>
      <c r="J290" s="68" t="b">
        <v>0</v>
      </c>
      <c r="K290" s="67" t="b">
        <v>1</v>
      </c>
      <c r="L290" s="68" t="b">
        <v>0</v>
      </c>
      <c r="M290" s="66" t="b">
        <v>0</v>
      </c>
      <c r="N290" s="67" t="b">
        <v>0</v>
      </c>
      <c r="O290" s="68" t="b">
        <v>0</v>
      </c>
      <c r="P290" s="66" t="b">
        <v>0</v>
      </c>
      <c r="Q290" s="67" t="b">
        <v>0</v>
      </c>
      <c r="R290" s="68" t="b">
        <v>0</v>
      </c>
      <c r="S290" s="4"/>
      <c r="T290" s="5"/>
      <c r="U290" s="2"/>
      <c r="V290" s="7"/>
      <c r="W290" s="4"/>
      <c r="X290" s="8"/>
    </row>
    <row r="291" spans="1:24" ht="12.5">
      <c r="A291" s="4" t="s">
        <v>5</v>
      </c>
      <c r="B291" s="4"/>
      <c r="C291" s="4" t="s">
        <v>60</v>
      </c>
      <c r="D291" s="4" t="s">
        <v>61</v>
      </c>
      <c r="E291" s="4">
        <v>34696323903</v>
      </c>
      <c r="F291" s="4" t="s">
        <v>8</v>
      </c>
      <c r="G291" s="32">
        <v>45901</v>
      </c>
      <c r="H291" s="4" t="s">
        <v>856</v>
      </c>
      <c r="I291" s="4" t="s">
        <v>448</v>
      </c>
      <c r="J291" s="68" t="b">
        <v>0</v>
      </c>
      <c r="K291" s="67" t="b">
        <v>1</v>
      </c>
      <c r="L291" s="68" t="b">
        <v>0</v>
      </c>
      <c r="M291" s="66" t="b">
        <v>0</v>
      </c>
      <c r="N291" s="67" t="b">
        <v>0</v>
      </c>
      <c r="O291" s="68" t="b">
        <v>0</v>
      </c>
      <c r="P291" s="66" t="b">
        <v>0</v>
      </c>
      <c r="Q291" s="67" t="b">
        <v>0</v>
      </c>
      <c r="R291" s="68" t="b">
        <v>0</v>
      </c>
      <c r="S291" s="4" t="s">
        <v>945</v>
      </c>
      <c r="T291" s="5">
        <v>45903</v>
      </c>
      <c r="U291" s="2">
        <v>149.5</v>
      </c>
      <c r="V291" s="7">
        <v>0.5</v>
      </c>
      <c r="W291" s="4">
        <v>1</v>
      </c>
      <c r="X291" s="8">
        <v>45658</v>
      </c>
    </row>
    <row r="292" spans="1:24" ht="12.5">
      <c r="A292" s="4" t="s">
        <v>5</v>
      </c>
      <c r="B292" s="4"/>
      <c r="C292" s="4" t="s">
        <v>1084</v>
      </c>
      <c r="D292" s="4" t="s">
        <v>1085</v>
      </c>
      <c r="E292" s="4">
        <v>34605946539</v>
      </c>
      <c r="F292" s="4" t="s">
        <v>740</v>
      </c>
      <c r="G292" s="32">
        <v>45901</v>
      </c>
      <c r="H292" s="4" t="s">
        <v>856</v>
      </c>
      <c r="I292" s="4" t="s">
        <v>459</v>
      </c>
      <c r="J292" s="68" t="b">
        <v>0</v>
      </c>
      <c r="K292" s="67" t="b">
        <v>1</v>
      </c>
      <c r="L292" s="68" t="b">
        <v>0</v>
      </c>
      <c r="M292" s="66" t="b">
        <v>0</v>
      </c>
      <c r="N292" s="67" t="b">
        <v>1</v>
      </c>
      <c r="O292" s="68" t="b">
        <v>0</v>
      </c>
      <c r="P292" s="66" t="b">
        <v>0</v>
      </c>
      <c r="Q292" s="67" t="b">
        <v>0</v>
      </c>
      <c r="R292" s="68" t="b">
        <v>0</v>
      </c>
      <c r="S292" s="4"/>
      <c r="T292" s="5"/>
      <c r="U292" s="2"/>
      <c r="V292" s="7"/>
      <c r="W292" s="4"/>
      <c r="X292" s="8"/>
    </row>
    <row r="293" spans="1:24" ht="12.5">
      <c r="A293" s="4" t="s">
        <v>5</v>
      </c>
      <c r="B293" s="4"/>
      <c r="C293" s="4" t="s">
        <v>1086</v>
      </c>
      <c r="D293" s="4" t="s">
        <v>1087</v>
      </c>
      <c r="E293" s="4">
        <v>333336693434</v>
      </c>
      <c r="F293" s="4" t="s">
        <v>1088</v>
      </c>
      <c r="G293" s="32">
        <v>45901</v>
      </c>
      <c r="H293" s="4" t="s">
        <v>856</v>
      </c>
      <c r="I293" s="4" t="s">
        <v>459</v>
      </c>
      <c r="J293" s="68" t="b">
        <v>0</v>
      </c>
      <c r="K293" s="67" t="b">
        <v>0</v>
      </c>
      <c r="L293" s="68" t="b">
        <v>1</v>
      </c>
      <c r="M293" s="66" t="b">
        <v>0</v>
      </c>
      <c r="N293" s="67" t="b">
        <v>0</v>
      </c>
      <c r="O293" s="68" t="b">
        <v>0</v>
      </c>
      <c r="P293" s="66" t="b">
        <v>0</v>
      </c>
      <c r="Q293" s="67" t="b">
        <v>0</v>
      </c>
      <c r="R293" s="68" t="b">
        <v>0</v>
      </c>
      <c r="S293" s="4"/>
      <c r="T293" s="5"/>
      <c r="U293" s="2"/>
      <c r="V293" s="7"/>
      <c r="W293" s="4"/>
      <c r="X293" s="8"/>
    </row>
    <row r="294" spans="1:24" ht="12.5">
      <c r="A294" s="4" t="s">
        <v>5</v>
      </c>
      <c r="B294" s="4"/>
      <c r="C294" s="4" t="s">
        <v>1089</v>
      </c>
      <c r="D294" s="4"/>
      <c r="E294" s="4">
        <v>34691653233</v>
      </c>
      <c r="F294" s="4" t="s">
        <v>83</v>
      </c>
      <c r="G294" s="32">
        <v>45901</v>
      </c>
      <c r="H294" s="4" t="s">
        <v>956</v>
      </c>
      <c r="I294" s="4" t="s">
        <v>459</v>
      </c>
      <c r="J294" s="66" t="b">
        <v>0</v>
      </c>
      <c r="K294" s="67" t="b">
        <v>1</v>
      </c>
      <c r="L294" s="68" t="b">
        <v>0</v>
      </c>
      <c r="M294" s="66" t="b">
        <v>0</v>
      </c>
      <c r="N294" s="67" t="b">
        <v>1</v>
      </c>
      <c r="O294" s="68" t="b">
        <v>0</v>
      </c>
      <c r="P294" s="66" t="b">
        <v>0</v>
      </c>
      <c r="Q294" s="67" t="b">
        <v>0</v>
      </c>
      <c r="R294" s="68" t="b">
        <v>0</v>
      </c>
      <c r="S294" s="4"/>
      <c r="T294" s="5"/>
      <c r="U294" s="2"/>
      <c r="V294" s="7"/>
      <c r="W294" s="4"/>
      <c r="X294" s="8"/>
    </row>
    <row r="295" spans="1:24" ht="12.5">
      <c r="A295" s="4" t="s">
        <v>5</v>
      </c>
      <c r="B295" s="4"/>
      <c r="C295" s="4" t="s">
        <v>1090</v>
      </c>
      <c r="D295" s="4"/>
      <c r="E295" s="4">
        <v>5215547883991</v>
      </c>
      <c r="F295" s="4" t="s">
        <v>1091</v>
      </c>
      <c r="G295" s="32">
        <v>45901</v>
      </c>
      <c r="H295" s="4" t="s">
        <v>956</v>
      </c>
      <c r="I295" s="4" t="s">
        <v>886</v>
      </c>
      <c r="J295" s="66" t="b">
        <v>0</v>
      </c>
      <c r="K295" s="67" t="b">
        <v>1</v>
      </c>
      <c r="L295" s="68" t="b">
        <v>0</v>
      </c>
      <c r="M295" s="66" t="b">
        <v>0</v>
      </c>
      <c r="N295" s="67" t="b">
        <v>1</v>
      </c>
      <c r="O295" s="68" t="b">
        <v>0</v>
      </c>
      <c r="P295" s="66" t="b">
        <v>0</v>
      </c>
      <c r="Q295" s="67" t="b">
        <v>0</v>
      </c>
      <c r="R295" s="68" t="b">
        <v>0</v>
      </c>
      <c r="S295" s="4"/>
      <c r="T295" s="5"/>
      <c r="U295" s="2"/>
      <c r="V295" s="7"/>
      <c r="W295" s="4"/>
      <c r="X295" s="8"/>
    </row>
    <row r="296" spans="1:24" ht="12.5">
      <c r="A296" s="4" t="s">
        <v>5</v>
      </c>
      <c r="B296" s="4"/>
      <c r="C296" s="4" t="s">
        <v>1092</v>
      </c>
      <c r="D296" s="4"/>
      <c r="E296" s="4">
        <v>359887255577</v>
      </c>
      <c r="F296" s="4" t="s">
        <v>1093</v>
      </c>
      <c r="G296" s="32">
        <v>45901</v>
      </c>
      <c r="H296" s="4" t="s">
        <v>1094</v>
      </c>
      <c r="I296" s="4" t="s">
        <v>1015</v>
      </c>
      <c r="J296" s="66" t="b">
        <v>0</v>
      </c>
      <c r="K296" s="67" t="b">
        <v>1</v>
      </c>
      <c r="L296" s="68" t="b">
        <v>1</v>
      </c>
      <c r="M296" s="66" t="b">
        <v>0</v>
      </c>
      <c r="N296" s="67" t="b">
        <v>1</v>
      </c>
      <c r="O296" s="68" t="b">
        <v>0</v>
      </c>
      <c r="P296" s="66" t="b">
        <v>0</v>
      </c>
      <c r="Q296" s="67" t="b">
        <v>0</v>
      </c>
      <c r="R296" s="68" t="b">
        <v>0</v>
      </c>
      <c r="S296" s="4"/>
      <c r="T296" s="5"/>
      <c r="U296" s="2"/>
      <c r="V296" s="7"/>
      <c r="W296" s="4"/>
      <c r="X296" s="8"/>
    </row>
    <row r="297" spans="1:24" ht="12.5">
      <c r="A297" s="4" t="s">
        <v>5</v>
      </c>
      <c r="B297" s="4"/>
      <c r="C297" s="4" t="s">
        <v>945</v>
      </c>
      <c r="D297" s="4"/>
      <c r="E297" s="4">
        <v>16125987678</v>
      </c>
      <c r="F297" s="4" t="s">
        <v>1095</v>
      </c>
      <c r="G297" s="32">
        <v>45901</v>
      </c>
      <c r="H297" s="4" t="s">
        <v>956</v>
      </c>
      <c r="I297" s="4" t="s">
        <v>459</v>
      </c>
      <c r="J297" s="66" t="b">
        <v>0</v>
      </c>
      <c r="K297" s="67" t="b">
        <v>1</v>
      </c>
      <c r="L297" s="68" t="b">
        <v>0</v>
      </c>
      <c r="M297" s="66" t="b">
        <v>0</v>
      </c>
      <c r="N297" s="67" t="b">
        <v>1</v>
      </c>
      <c r="O297" s="68" t="b">
        <v>0</v>
      </c>
      <c r="P297" s="66" t="b">
        <v>0</v>
      </c>
      <c r="Q297" s="67" t="b">
        <v>0</v>
      </c>
      <c r="R297" s="68" t="b">
        <v>0</v>
      </c>
      <c r="S297" s="4"/>
      <c r="T297" s="5"/>
      <c r="U297" s="2"/>
      <c r="V297" s="7"/>
      <c r="W297" s="4"/>
      <c r="X297" s="8"/>
    </row>
    <row r="298" spans="1:24" ht="12.5">
      <c r="A298" s="4" t="s">
        <v>5</v>
      </c>
      <c r="B298" s="4"/>
      <c r="C298" s="4" t="s">
        <v>1096</v>
      </c>
      <c r="D298" s="4"/>
      <c r="E298" s="4">
        <v>573013276568</v>
      </c>
      <c r="F298" s="4" t="s">
        <v>140</v>
      </c>
      <c r="G298" s="32">
        <v>45901</v>
      </c>
      <c r="H298" s="4" t="s">
        <v>956</v>
      </c>
      <c r="I298" s="4" t="s">
        <v>1097</v>
      </c>
      <c r="J298" s="66" t="b">
        <v>0</v>
      </c>
      <c r="K298" s="67" t="b">
        <v>1</v>
      </c>
      <c r="L298" s="68" t="b">
        <v>0</v>
      </c>
      <c r="M298" s="66" t="b">
        <v>0</v>
      </c>
      <c r="N298" s="67" t="b">
        <v>0</v>
      </c>
      <c r="O298" s="68" t="b">
        <v>0</v>
      </c>
      <c r="P298" s="66" t="b">
        <v>0</v>
      </c>
      <c r="Q298" s="67" t="b">
        <v>0</v>
      </c>
      <c r="R298" s="68" t="b">
        <v>0</v>
      </c>
      <c r="S298" s="4"/>
      <c r="T298" s="5"/>
      <c r="U298" s="2"/>
      <c r="V298" s="7"/>
      <c r="W298" s="4"/>
      <c r="X298" s="8"/>
    </row>
    <row r="299" spans="1:24" ht="14">
      <c r="A299" s="4" t="s">
        <v>5</v>
      </c>
      <c r="B299" s="4"/>
      <c r="C299" s="4" t="s">
        <v>105</v>
      </c>
      <c r="D299" s="21" t="s">
        <v>106</v>
      </c>
      <c r="E299" s="4">
        <v>34659106524</v>
      </c>
      <c r="F299" s="4" t="s">
        <v>8</v>
      </c>
      <c r="G299" s="32">
        <v>45901</v>
      </c>
      <c r="H299" s="4" t="s">
        <v>956</v>
      </c>
      <c r="I299" s="4" t="s">
        <v>448</v>
      </c>
      <c r="J299" s="66" t="b">
        <v>0</v>
      </c>
      <c r="K299" s="67" t="b">
        <v>1</v>
      </c>
      <c r="L299" s="68" t="b">
        <v>0</v>
      </c>
      <c r="M299" s="66" t="b">
        <v>0</v>
      </c>
      <c r="N299" s="67" t="b">
        <v>1</v>
      </c>
      <c r="O299" s="68" t="b">
        <v>0</v>
      </c>
      <c r="P299" s="66" t="b">
        <v>0</v>
      </c>
      <c r="Q299" s="67" t="b">
        <v>0</v>
      </c>
      <c r="R299" s="68" t="b">
        <v>0</v>
      </c>
      <c r="S299" s="4"/>
      <c r="T299" s="5">
        <v>45913</v>
      </c>
      <c r="U299" s="2">
        <v>149.5</v>
      </c>
      <c r="V299" s="7">
        <v>0.5</v>
      </c>
      <c r="W299" s="4">
        <v>1</v>
      </c>
      <c r="X299" s="8">
        <v>45658</v>
      </c>
    </row>
    <row r="300" spans="1:24" ht="12.5">
      <c r="A300" s="4" t="s">
        <v>5</v>
      </c>
      <c r="B300" s="4" t="s">
        <v>119</v>
      </c>
      <c r="C300" s="4" t="s">
        <v>398</v>
      </c>
      <c r="D300" s="4" t="s">
        <v>1098</v>
      </c>
      <c r="E300" s="4"/>
      <c r="F300" s="4" t="s">
        <v>27</v>
      </c>
      <c r="G300" s="32">
        <v>45901</v>
      </c>
      <c r="H300" s="4" t="s">
        <v>1094</v>
      </c>
      <c r="I300" s="4" t="s">
        <v>459</v>
      </c>
      <c r="J300" s="66" t="b">
        <v>0</v>
      </c>
      <c r="K300" s="67" t="b">
        <v>0</v>
      </c>
      <c r="L300" s="68" t="b">
        <v>1</v>
      </c>
      <c r="M300" s="66" t="b">
        <v>0</v>
      </c>
      <c r="N300" s="67" t="b">
        <v>0</v>
      </c>
      <c r="O300" s="68" t="b">
        <v>0</v>
      </c>
      <c r="P300" s="66" t="b">
        <v>0</v>
      </c>
      <c r="Q300" s="67" t="b">
        <v>0</v>
      </c>
      <c r="R300" s="68" t="b">
        <v>0</v>
      </c>
      <c r="S300" s="4"/>
      <c r="T300" s="5"/>
      <c r="U300" s="2"/>
      <c r="V300" s="7"/>
      <c r="W300" s="4"/>
      <c r="X300" s="8"/>
    </row>
    <row r="301" spans="1:24" ht="12.5">
      <c r="A301" s="4" t="s">
        <v>5</v>
      </c>
      <c r="B301" s="4"/>
      <c r="C301" s="4" t="s">
        <v>1099</v>
      </c>
      <c r="D301" s="4" t="s">
        <v>1100</v>
      </c>
      <c r="E301" s="4"/>
      <c r="F301" s="82" t="s">
        <v>1101</v>
      </c>
      <c r="G301" s="32">
        <v>45901</v>
      </c>
      <c r="H301" s="4" t="s">
        <v>1094</v>
      </c>
      <c r="I301" s="4" t="s">
        <v>459</v>
      </c>
      <c r="J301" s="66" t="b">
        <v>0</v>
      </c>
      <c r="K301" s="67" t="b">
        <v>0</v>
      </c>
      <c r="L301" s="68" t="b">
        <v>1</v>
      </c>
      <c r="M301" s="66" t="b">
        <v>0</v>
      </c>
      <c r="N301" s="67" t="b">
        <v>0</v>
      </c>
      <c r="O301" s="68" t="b">
        <v>0</v>
      </c>
      <c r="P301" s="66" t="b">
        <v>0</v>
      </c>
      <c r="Q301" s="67" t="b">
        <v>0</v>
      </c>
      <c r="R301" s="68" t="b">
        <v>0</v>
      </c>
      <c r="S301" s="4"/>
      <c r="T301" s="5"/>
      <c r="U301" s="2"/>
      <c r="V301" s="7"/>
      <c r="W301" s="4"/>
      <c r="X301" s="8"/>
    </row>
    <row r="302" spans="1:24" ht="12.5">
      <c r="A302" s="4" t="s">
        <v>5</v>
      </c>
      <c r="B302" s="4"/>
      <c r="C302" s="4" t="s">
        <v>1102</v>
      </c>
      <c r="D302" s="4" t="s">
        <v>1103</v>
      </c>
      <c r="E302" s="4">
        <f>59899666497</f>
        <v>59899666497</v>
      </c>
      <c r="F302" s="4" t="s">
        <v>102</v>
      </c>
      <c r="G302" s="32">
        <v>45902</v>
      </c>
      <c r="H302" s="4" t="s">
        <v>856</v>
      </c>
      <c r="I302" s="4" t="s">
        <v>886</v>
      </c>
      <c r="J302" s="66" t="b">
        <v>1</v>
      </c>
      <c r="K302" s="67" t="b">
        <v>0</v>
      </c>
      <c r="L302" s="68" t="b">
        <v>1</v>
      </c>
      <c r="M302" s="66" t="b">
        <v>0</v>
      </c>
      <c r="N302" s="67" t="b">
        <v>0</v>
      </c>
      <c r="O302" s="68" t="b">
        <v>0</v>
      </c>
      <c r="P302" s="66" t="b">
        <v>0</v>
      </c>
      <c r="Q302" s="67" t="b">
        <v>0</v>
      </c>
      <c r="R302" s="68" t="b">
        <v>0</v>
      </c>
      <c r="S302" s="4"/>
      <c r="T302" s="5"/>
      <c r="U302" s="2"/>
      <c r="V302" s="7"/>
      <c r="W302" s="4"/>
      <c r="X302" s="8"/>
    </row>
    <row r="303" spans="1:24" ht="12.5">
      <c r="A303" s="4" t="s">
        <v>5</v>
      </c>
      <c r="B303" s="4"/>
      <c r="C303" s="4" t="s">
        <v>1104</v>
      </c>
      <c r="D303" s="4" t="s">
        <v>1105</v>
      </c>
      <c r="E303" s="4">
        <v>34627698070</v>
      </c>
      <c r="F303" s="4" t="s">
        <v>111</v>
      </c>
      <c r="G303" s="32">
        <v>45902</v>
      </c>
      <c r="H303" s="4" t="s">
        <v>856</v>
      </c>
      <c r="I303" s="4" t="s">
        <v>459</v>
      </c>
      <c r="J303" s="68" t="b">
        <v>1</v>
      </c>
      <c r="K303" s="67" t="b">
        <v>1</v>
      </c>
      <c r="L303" s="68" t="b">
        <v>0</v>
      </c>
      <c r="M303" s="66" t="b">
        <v>0</v>
      </c>
      <c r="N303" s="67" t="b">
        <v>1</v>
      </c>
      <c r="O303" s="68" t="b">
        <v>0</v>
      </c>
      <c r="P303" s="66" t="b">
        <v>0</v>
      </c>
      <c r="Q303" s="67" t="b">
        <v>0</v>
      </c>
      <c r="R303" s="68" t="b">
        <v>0</v>
      </c>
      <c r="S303" s="4"/>
      <c r="T303" s="5"/>
      <c r="U303" s="2"/>
      <c r="V303" s="7"/>
      <c r="W303" s="4"/>
      <c r="X303" s="8"/>
    </row>
    <row r="304" spans="1:24" ht="12.5">
      <c r="A304" s="4" t="s">
        <v>5</v>
      </c>
      <c r="B304" s="4"/>
      <c r="C304" s="4" t="s">
        <v>1106</v>
      </c>
      <c r="D304" s="4" t="s">
        <v>1107</v>
      </c>
      <c r="E304" s="4">
        <v>5491166630861</v>
      </c>
      <c r="F304" s="4" t="s">
        <v>343</v>
      </c>
      <c r="G304" s="32">
        <v>45903</v>
      </c>
      <c r="H304" s="4" t="s">
        <v>856</v>
      </c>
      <c r="I304" s="4" t="s">
        <v>459</v>
      </c>
      <c r="J304" s="68" t="b">
        <v>0</v>
      </c>
      <c r="K304" s="67" t="b">
        <v>1</v>
      </c>
      <c r="L304" s="68" t="b">
        <v>0</v>
      </c>
      <c r="M304" s="66" t="b">
        <v>0</v>
      </c>
      <c r="N304" s="67" t="b">
        <v>0</v>
      </c>
      <c r="O304" s="68" t="b">
        <v>0</v>
      </c>
      <c r="P304" s="66" t="b">
        <v>0</v>
      </c>
      <c r="Q304" s="67" t="b">
        <v>0</v>
      </c>
      <c r="R304" s="68" t="b">
        <v>0</v>
      </c>
      <c r="S304" s="4"/>
      <c r="T304" s="5"/>
      <c r="U304" s="2"/>
      <c r="V304" s="7"/>
      <c r="W304" s="4"/>
      <c r="X304" s="8"/>
    </row>
    <row r="305" spans="1:24" ht="12.5">
      <c r="A305" s="4" t="s">
        <v>5</v>
      </c>
      <c r="B305" s="4"/>
      <c r="C305" s="4" t="s">
        <v>1108</v>
      </c>
      <c r="D305" s="4" t="s">
        <v>1109</v>
      </c>
      <c r="E305" s="4">
        <v>34608475775</v>
      </c>
      <c r="F305" s="4" t="s">
        <v>102</v>
      </c>
      <c r="G305" s="32">
        <v>45903</v>
      </c>
      <c r="H305" s="4" t="s">
        <v>856</v>
      </c>
      <c r="I305" s="4" t="s">
        <v>459</v>
      </c>
      <c r="J305" s="66" t="b">
        <v>1</v>
      </c>
      <c r="K305" s="67" t="b">
        <v>1</v>
      </c>
      <c r="L305" s="68" t="b">
        <v>0</v>
      </c>
      <c r="M305" s="66" t="b">
        <v>0</v>
      </c>
      <c r="N305" s="67" t="b">
        <v>1</v>
      </c>
      <c r="O305" s="68" t="b">
        <v>0</v>
      </c>
      <c r="P305" s="66" t="b">
        <v>0</v>
      </c>
      <c r="Q305" s="67" t="b">
        <v>0</v>
      </c>
      <c r="R305" s="68" t="b">
        <v>0</v>
      </c>
      <c r="S305" s="4"/>
      <c r="T305" s="5"/>
      <c r="U305" s="2"/>
      <c r="V305" s="7"/>
      <c r="W305" s="4"/>
      <c r="X305" s="8"/>
    </row>
    <row r="306" spans="1:24" ht="12.5">
      <c r="A306" s="4" t="s">
        <v>5</v>
      </c>
      <c r="B306" s="4" t="s">
        <v>119</v>
      </c>
      <c r="C306" s="4" t="s">
        <v>72</v>
      </c>
      <c r="D306" s="4" t="s">
        <v>1110</v>
      </c>
      <c r="E306" s="4">
        <v>34608785864</v>
      </c>
      <c r="F306" s="4" t="s">
        <v>27</v>
      </c>
      <c r="G306" s="32">
        <v>45904</v>
      </c>
      <c r="H306" s="4" t="s">
        <v>856</v>
      </c>
      <c r="I306" s="4" t="s">
        <v>448</v>
      </c>
      <c r="J306" s="66" t="b">
        <v>0</v>
      </c>
      <c r="K306" s="67" t="b">
        <v>1</v>
      </c>
      <c r="L306" s="68" t="b">
        <v>1</v>
      </c>
      <c r="M306" s="66" t="b">
        <v>0</v>
      </c>
      <c r="N306" s="67" t="b">
        <v>0</v>
      </c>
      <c r="O306" s="68" t="b">
        <v>0</v>
      </c>
      <c r="P306" s="66" t="b">
        <v>0</v>
      </c>
      <c r="Q306" s="67" t="b">
        <v>0</v>
      </c>
      <c r="R306" s="68" t="b">
        <v>0</v>
      </c>
      <c r="S306" s="4" t="s">
        <v>945</v>
      </c>
      <c r="T306" s="5">
        <v>45908</v>
      </c>
      <c r="U306" s="2">
        <v>175</v>
      </c>
      <c r="V306" s="7">
        <v>0.5</v>
      </c>
      <c r="W306" s="4">
        <v>1</v>
      </c>
      <c r="X306" s="8">
        <v>45658</v>
      </c>
    </row>
    <row r="307" spans="1:24" ht="12.5">
      <c r="A307" s="4" t="s">
        <v>5</v>
      </c>
      <c r="B307" s="4"/>
      <c r="C307" s="4" t="s">
        <v>1111</v>
      </c>
      <c r="E307" s="4">
        <v>34644484093</v>
      </c>
      <c r="F307" s="4" t="s">
        <v>1112</v>
      </c>
      <c r="G307" s="32">
        <v>45904</v>
      </c>
      <c r="H307" s="4" t="s">
        <v>956</v>
      </c>
      <c r="I307" s="4" t="s">
        <v>459</v>
      </c>
      <c r="J307" s="66" t="b">
        <v>0</v>
      </c>
      <c r="K307" s="67" t="b">
        <v>1</v>
      </c>
      <c r="L307" s="68" t="b">
        <v>1</v>
      </c>
      <c r="M307" s="66" t="b">
        <v>0</v>
      </c>
      <c r="N307" s="67" t="b">
        <v>1</v>
      </c>
      <c r="O307" s="68" t="b">
        <v>0</v>
      </c>
      <c r="P307" s="66" t="b">
        <v>0</v>
      </c>
      <c r="Q307" s="67" t="b">
        <v>0</v>
      </c>
      <c r="R307" s="68" t="b">
        <v>0</v>
      </c>
      <c r="S307" s="8"/>
    </row>
    <row r="308" spans="1:24" ht="12.5">
      <c r="A308" s="4" t="s">
        <v>5</v>
      </c>
      <c r="B308" s="4"/>
      <c r="C308" s="4" t="s">
        <v>1113</v>
      </c>
      <c r="D308" s="4" t="s">
        <v>1114</v>
      </c>
      <c r="E308" s="4">
        <v>522311107567</v>
      </c>
      <c r="F308" s="4" t="s">
        <v>1055</v>
      </c>
      <c r="G308" s="32">
        <v>45904</v>
      </c>
      <c r="H308" s="4" t="s">
        <v>856</v>
      </c>
      <c r="I308" s="4" t="s">
        <v>459</v>
      </c>
      <c r="J308" s="66" t="b">
        <v>0</v>
      </c>
      <c r="K308" s="67" t="b">
        <v>1</v>
      </c>
      <c r="L308" s="68" t="b">
        <v>0</v>
      </c>
      <c r="M308" s="66" t="b">
        <v>0</v>
      </c>
      <c r="N308" s="67" t="b">
        <v>1</v>
      </c>
      <c r="O308" s="68" t="b">
        <v>0</v>
      </c>
      <c r="P308" s="66" t="b">
        <v>0</v>
      </c>
      <c r="Q308" s="67" t="b">
        <v>0</v>
      </c>
      <c r="R308" s="68" t="b">
        <v>0</v>
      </c>
      <c r="S308" s="8"/>
    </row>
    <row r="309" spans="1:24" ht="12.5">
      <c r="A309" s="4" t="s">
        <v>5</v>
      </c>
      <c r="B309" s="4"/>
      <c r="C309" s="4" t="s">
        <v>1115</v>
      </c>
      <c r="D309" s="4" t="s">
        <v>1116</v>
      </c>
      <c r="E309" s="4">
        <v>525545666709</v>
      </c>
      <c r="F309" s="4" t="s">
        <v>702</v>
      </c>
      <c r="G309" s="32">
        <v>45904</v>
      </c>
      <c r="H309" s="4" t="s">
        <v>856</v>
      </c>
      <c r="I309" s="4" t="s">
        <v>459</v>
      </c>
      <c r="J309" s="66" t="b">
        <v>0</v>
      </c>
      <c r="K309" s="67" t="b">
        <v>1</v>
      </c>
      <c r="L309" s="68" t="b">
        <v>0</v>
      </c>
      <c r="M309" s="66" t="b">
        <v>0</v>
      </c>
      <c r="N309" s="67" t="b">
        <v>1</v>
      </c>
      <c r="O309" s="68" t="b">
        <v>0</v>
      </c>
      <c r="P309" s="66" t="b">
        <v>0</v>
      </c>
      <c r="Q309" s="67" t="b">
        <v>0</v>
      </c>
      <c r="R309" s="68" t="b">
        <v>0</v>
      </c>
      <c r="S309" s="8"/>
    </row>
    <row r="310" spans="1:24" ht="12.5">
      <c r="A310" s="4" t="s">
        <v>5</v>
      </c>
      <c r="B310" s="4"/>
      <c r="C310" s="4" t="s">
        <v>1117</v>
      </c>
      <c r="D310" s="4" t="s">
        <v>1118</v>
      </c>
      <c r="E310" s="4">
        <v>34638272723</v>
      </c>
      <c r="F310" s="4" t="s">
        <v>1119</v>
      </c>
      <c r="G310" s="32">
        <v>45905</v>
      </c>
      <c r="H310" s="4" t="s">
        <v>856</v>
      </c>
      <c r="I310" s="4" t="s">
        <v>459</v>
      </c>
      <c r="J310" s="66" t="b">
        <v>1</v>
      </c>
      <c r="K310" s="67" t="b">
        <v>1</v>
      </c>
      <c r="L310" s="68" t="b">
        <v>0</v>
      </c>
      <c r="M310" s="66" t="b">
        <v>0</v>
      </c>
      <c r="N310" s="67" t="b">
        <v>0</v>
      </c>
      <c r="O310" s="68" t="b">
        <v>0</v>
      </c>
      <c r="P310" s="66" t="b">
        <v>0</v>
      </c>
      <c r="Q310" s="67" t="b">
        <v>0</v>
      </c>
      <c r="R310" s="68" t="b">
        <v>0</v>
      </c>
      <c r="S310" s="8"/>
    </row>
    <row r="311" spans="1:24" ht="12.5">
      <c r="A311" s="4" t="s">
        <v>5</v>
      </c>
      <c r="B311" s="4" t="s">
        <v>119</v>
      </c>
      <c r="C311" s="4" t="s">
        <v>1120</v>
      </c>
      <c r="D311" s="4" t="s">
        <v>1121</v>
      </c>
      <c r="E311" s="4">
        <v>34600000000</v>
      </c>
      <c r="F311" s="4" t="s">
        <v>27</v>
      </c>
      <c r="G311" s="32">
        <v>45905</v>
      </c>
      <c r="H311" s="4" t="s">
        <v>856</v>
      </c>
      <c r="I311" s="4" t="s">
        <v>459</v>
      </c>
      <c r="J311" s="66" t="b">
        <v>0</v>
      </c>
      <c r="K311" s="67" t="b">
        <v>0</v>
      </c>
      <c r="L311" s="68" t="b">
        <v>1</v>
      </c>
      <c r="M311" s="66" t="b">
        <v>0</v>
      </c>
      <c r="N311" s="67" t="b">
        <v>0</v>
      </c>
      <c r="O311" s="68" t="b">
        <v>0</v>
      </c>
      <c r="P311" s="66" t="b">
        <v>0</v>
      </c>
      <c r="Q311" s="67" t="b">
        <v>0</v>
      </c>
      <c r="R311" s="68" t="b">
        <v>0</v>
      </c>
      <c r="S311" s="8"/>
    </row>
    <row r="312" spans="1:24" ht="12.5">
      <c r="A312" s="4" t="s">
        <v>5</v>
      </c>
      <c r="B312" s="4"/>
      <c r="C312" s="4" t="s">
        <v>1122</v>
      </c>
      <c r="D312" s="4" t="s">
        <v>1123</v>
      </c>
      <c r="E312" s="4">
        <v>34687172697</v>
      </c>
      <c r="F312" s="4" t="s">
        <v>1124</v>
      </c>
      <c r="G312" s="32">
        <v>45905</v>
      </c>
      <c r="H312" s="4" t="s">
        <v>856</v>
      </c>
      <c r="I312" s="4" t="s">
        <v>459</v>
      </c>
      <c r="J312" s="68" t="b">
        <v>1</v>
      </c>
      <c r="K312" s="67" t="b">
        <v>1</v>
      </c>
      <c r="L312" s="68" t="b">
        <v>0</v>
      </c>
      <c r="M312" s="66" t="b">
        <v>0</v>
      </c>
      <c r="N312" s="67" t="b">
        <v>1</v>
      </c>
      <c r="O312" s="68" t="b">
        <v>0</v>
      </c>
      <c r="P312" s="66" t="b">
        <v>0</v>
      </c>
      <c r="Q312" s="67" t="b">
        <v>0</v>
      </c>
      <c r="R312" s="68" t="b">
        <v>0</v>
      </c>
      <c r="S312" s="8"/>
    </row>
    <row r="313" spans="1:24" ht="12.5">
      <c r="A313" s="4" t="s">
        <v>5</v>
      </c>
      <c r="B313" s="4"/>
      <c r="C313" s="4" t="s">
        <v>1125</v>
      </c>
      <c r="D313" s="4" t="s">
        <v>1126</v>
      </c>
      <c r="E313" s="4">
        <v>5493537317782</v>
      </c>
      <c r="F313" s="4" t="s">
        <v>111</v>
      </c>
      <c r="G313" s="32">
        <v>45905</v>
      </c>
      <c r="H313" s="4" t="s">
        <v>856</v>
      </c>
      <c r="I313" s="4" t="s">
        <v>459</v>
      </c>
      <c r="J313" s="66" t="b">
        <v>1</v>
      </c>
      <c r="K313" s="67" t="b">
        <v>1</v>
      </c>
      <c r="L313" s="68" t="b">
        <v>1</v>
      </c>
      <c r="M313" s="66" t="b">
        <v>0</v>
      </c>
      <c r="N313" s="67" t="b">
        <v>0</v>
      </c>
      <c r="O313" s="68" t="b">
        <v>0</v>
      </c>
      <c r="P313" s="66" t="b">
        <v>0</v>
      </c>
      <c r="Q313" s="67" t="b">
        <v>0</v>
      </c>
      <c r="R313" s="68" t="b">
        <v>0</v>
      </c>
      <c r="S313" s="8"/>
    </row>
    <row r="314" spans="1:24" ht="12.5">
      <c r="A314" s="4" t="s">
        <v>5</v>
      </c>
      <c r="B314" s="4"/>
      <c r="C314" s="4" t="s">
        <v>1127</v>
      </c>
      <c r="D314" s="4" t="s">
        <v>1128</v>
      </c>
      <c r="E314" s="4">
        <v>34636462968</v>
      </c>
      <c r="F314" s="4" t="s">
        <v>228</v>
      </c>
      <c r="G314" s="32">
        <v>45905</v>
      </c>
      <c r="H314" s="4" t="s">
        <v>856</v>
      </c>
      <c r="I314" s="4" t="s">
        <v>886</v>
      </c>
      <c r="J314" s="68" t="b">
        <v>1</v>
      </c>
      <c r="K314" s="67" t="b">
        <v>1</v>
      </c>
      <c r="L314" s="68" t="b">
        <v>0</v>
      </c>
      <c r="M314" s="66" t="b">
        <v>0</v>
      </c>
      <c r="N314" s="67" t="b">
        <v>0</v>
      </c>
      <c r="O314" s="68" t="b">
        <v>0</v>
      </c>
      <c r="P314" s="66" t="b">
        <v>0</v>
      </c>
      <c r="Q314" s="67" t="b">
        <v>0</v>
      </c>
      <c r="R314" s="68" t="b">
        <v>0</v>
      </c>
      <c r="S314" s="8"/>
    </row>
    <row r="315" spans="1:24" ht="12.5">
      <c r="A315" s="4" t="s">
        <v>5</v>
      </c>
      <c r="B315" s="4"/>
      <c r="C315" s="4" t="s">
        <v>67</v>
      </c>
      <c r="D315" s="4" t="s">
        <v>68</v>
      </c>
      <c r="E315" s="4">
        <v>34633486006</v>
      </c>
      <c r="F315" s="4" t="s">
        <v>69</v>
      </c>
      <c r="G315" s="32">
        <v>45906</v>
      </c>
      <c r="H315" s="4" t="s">
        <v>856</v>
      </c>
      <c r="I315" s="4" t="s">
        <v>448</v>
      </c>
      <c r="J315" s="66" t="b">
        <v>0</v>
      </c>
      <c r="K315" s="67" t="b">
        <v>0</v>
      </c>
      <c r="L315" s="68" t="b">
        <v>0</v>
      </c>
      <c r="M315" s="66" t="b">
        <v>0</v>
      </c>
      <c r="N315" s="67" t="b">
        <v>0</v>
      </c>
      <c r="O315" s="68" t="b">
        <v>0</v>
      </c>
      <c r="P315" s="66" t="b">
        <v>0</v>
      </c>
      <c r="Q315" s="67" t="b">
        <v>0</v>
      </c>
      <c r="R315" s="68" t="b">
        <v>0</v>
      </c>
      <c r="S315" s="4" t="s">
        <v>34</v>
      </c>
      <c r="T315" s="5">
        <v>45906</v>
      </c>
      <c r="U315" s="6">
        <v>250</v>
      </c>
      <c r="V315" s="4">
        <v>0</v>
      </c>
      <c r="W315" s="4">
        <v>1</v>
      </c>
      <c r="X315" s="8">
        <v>45658</v>
      </c>
    </row>
    <row r="316" spans="1:24" ht="12.5">
      <c r="A316" s="4" t="s">
        <v>5</v>
      </c>
      <c r="B316" s="4"/>
      <c r="C316" s="4" t="s">
        <v>1129</v>
      </c>
      <c r="D316" s="4" t="s">
        <v>1130</v>
      </c>
      <c r="E316" s="4">
        <v>525522432941</v>
      </c>
      <c r="F316" s="4" t="s">
        <v>1038</v>
      </c>
      <c r="G316" s="32">
        <v>45906</v>
      </c>
      <c r="H316" s="4" t="s">
        <v>856</v>
      </c>
      <c r="I316" s="4" t="s">
        <v>459</v>
      </c>
      <c r="J316" s="66" t="b">
        <v>0</v>
      </c>
      <c r="K316" s="67" t="b">
        <v>1</v>
      </c>
      <c r="L316" s="68" t="b">
        <v>0</v>
      </c>
      <c r="M316" s="66" t="b">
        <v>0</v>
      </c>
      <c r="N316" s="67" t="b">
        <v>1</v>
      </c>
      <c r="O316" s="68" t="b">
        <v>0</v>
      </c>
      <c r="P316" s="66" t="b">
        <v>0</v>
      </c>
      <c r="Q316" s="67" t="b">
        <v>0</v>
      </c>
      <c r="R316" s="68" t="b">
        <v>0</v>
      </c>
      <c r="S316" s="8"/>
    </row>
    <row r="317" spans="1:24" ht="12.5">
      <c r="A317" s="4" t="s">
        <v>5</v>
      </c>
      <c r="B317" s="4" t="s">
        <v>119</v>
      </c>
      <c r="C317" s="4" t="s">
        <v>1131</v>
      </c>
      <c r="D317" s="4" t="s">
        <v>161</v>
      </c>
      <c r="E317" s="4">
        <v>34633227937</v>
      </c>
      <c r="F317" s="4" t="s">
        <v>27</v>
      </c>
      <c r="G317" s="32">
        <v>45907</v>
      </c>
      <c r="H317" s="4" t="s">
        <v>856</v>
      </c>
      <c r="I317" s="4" t="s">
        <v>448</v>
      </c>
      <c r="J317" s="68" t="b">
        <v>1</v>
      </c>
      <c r="K317" s="67" t="b">
        <v>1</v>
      </c>
      <c r="L317" s="68" t="b">
        <v>0</v>
      </c>
      <c r="M317" s="66" t="b">
        <v>0</v>
      </c>
      <c r="N317" s="67" t="b">
        <v>1</v>
      </c>
      <c r="O317" s="68" t="b">
        <v>0</v>
      </c>
      <c r="P317" s="66" t="b">
        <v>0</v>
      </c>
      <c r="Q317" s="67" t="b">
        <v>0</v>
      </c>
      <c r="R317" s="68" t="b">
        <v>0</v>
      </c>
      <c r="S317" s="8"/>
    </row>
    <row r="318" spans="1:24" ht="12.5">
      <c r="A318" s="4" t="s">
        <v>5</v>
      </c>
      <c r="B318" s="4"/>
      <c r="C318" s="4" t="s">
        <v>1132</v>
      </c>
      <c r="D318" s="4" t="s">
        <v>1133</v>
      </c>
      <c r="E318" s="4">
        <v>34680998964</v>
      </c>
      <c r="F318" s="4" t="s">
        <v>1134</v>
      </c>
      <c r="G318" s="32">
        <v>45907</v>
      </c>
      <c r="H318" s="4" t="s">
        <v>856</v>
      </c>
      <c r="I318" s="4" t="s">
        <v>459</v>
      </c>
      <c r="J318" s="66" t="b">
        <v>0</v>
      </c>
      <c r="K318" s="67" t="b">
        <v>1</v>
      </c>
      <c r="L318" s="68" t="b">
        <v>0</v>
      </c>
      <c r="M318" s="66" t="b">
        <v>0</v>
      </c>
      <c r="N318" s="67" t="b">
        <v>0</v>
      </c>
      <c r="O318" s="68" t="b">
        <v>0</v>
      </c>
      <c r="P318" s="66" t="b">
        <v>0</v>
      </c>
      <c r="Q318" s="67" t="b">
        <v>0</v>
      </c>
      <c r="R318" s="68" t="b">
        <v>0</v>
      </c>
      <c r="S318" s="8"/>
    </row>
    <row r="319" spans="1:24" ht="12.5">
      <c r="A319" s="4" t="s">
        <v>5</v>
      </c>
      <c r="B319" s="4"/>
      <c r="C319" s="4" t="s">
        <v>1135</v>
      </c>
      <c r="D319" s="4" t="s">
        <v>1136</v>
      </c>
      <c r="E319" s="4">
        <v>5491134224530</v>
      </c>
      <c r="F319" s="4" t="s">
        <v>646</v>
      </c>
      <c r="G319" s="32">
        <v>45907</v>
      </c>
      <c r="H319" s="4" t="s">
        <v>856</v>
      </c>
      <c r="I319" s="4" t="s">
        <v>459</v>
      </c>
      <c r="J319" s="66" t="b">
        <v>0</v>
      </c>
      <c r="K319" s="67" t="b">
        <v>1</v>
      </c>
      <c r="L319" s="68" t="b">
        <v>0</v>
      </c>
      <c r="M319" s="66" t="b">
        <v>0</v>
      </c>
      <c r="N319" s="67" t="b">
        <v>0</v>
      </c>
      <c r="O319" s="68" t="b">
        <v>0</v>
      </c>
      <c r="P319" s="66" t="b">
        <v>0</v>
      </c>
      <c r="Q319" s="67" t="b">
        <v>0</v>
      </c>
      <c r="R319" s="68" t="b">
        <v>0</v>
      </c>
      <c r="S319" s="8"/>
    </row>
    <row r="320" spans="1:24" ht="12.5">
      <c r="A320" s="81" t="s">
        <v>381</v>
      </c>
      <c r="B320" s="4"/>
      <c r="C320" s="4" t="s">
        <v>1137</v>
      </c>
      <c r="D320" s="4" t="s">
        <v>1138</v>
      </c>
      <c r="E320" s="4">
        <v>975756152</v>
      </c>
      <c r="F320" s="4" t="s">
        <v>1139</v>
      </c>
      <c r="G320" s="32">
        <v>45907</v>
      </c>
      <c r="H320" s="4" t="s">
        <v>856</v>
      </c>
      <c r="I320" s="4" t="s">
        <v>459</v>
      </c>
      <c r="J320" s="66" t="b">
        <v>0</v>
      </c>
      <c r="K320" s="67" t="b">
        <v>0</v>
      </c>
      <c r="L320" s="68" t="b">
        <v>1</v>
      </c>
      <c r="M320" s="66" t="b">
        <v>0</v>
      </c>
      <c r="N320" s="67" t="b">
        <v>0</v>
      </c>
      <c r="O320" s="68" t="b">
        <v>0</v>
      </c>
      <c r="P320" s="66" t="b">
        <v>0</v>
      </c>
      <c r="Q320" s="67" t="b">
        <v>0</v>
      </c>
      <c r="R320" s="68" t="b">
        <v>0</v>
      </c>
      <c r="S320" s="8"/>
    </row>
    <row r="321" spans="1:24" ht="12.5">
      <c r="A321" s="4" t="s">
        <v>1140</v>
      </c>
      <c r="B321" s="4"/>
      <c r="C321" s="4" t="s">
        <v>1141</v>
      </c>
      <c r="D321" s="4"/>
      <c r="E321" s="4">
        <v>56944300502</v>
      </c>
      <c r="F321" s="4" t="s">
        <v>8</v>
      </c>
      <c r="G321" s="32">
        <v>45908</v>
      </c>
      <c r="H321" s="4" t="s">
        <v>956</v>
      </c>
      <c r="I321" s="4" t="s">
        <v>459</v>
      </c>
      <c r="J321" s="66" t="b">
        <v>0</v>
      </c>
      <c r="K321" s="67" t="b">
        <v>1</v>
      </c>
      <c r="L321" s="68" t="b">
        <v>0</v>
      </c>
      <c r="M321" s="66" t="b">
        <v>0</v>
      </c>
      <c r="N321" s="67" t="b">
        <v>0</v>
      </c>
      <c r="O321" s="68" t="b">
        <v>0</v>
      </c>
      <c r="P321" s="66" t="b">
        <v>0</v>
      </c>
      <c r="Q321" s="67" t="b">
        <v>0</v>
      </c>
      <c r="R321" s="68" t="b">
        <v>0</v>
      </c>
      <c r="S321" s="8"/>
    </row>
    <row r="322" spans="1:24" ht="12.5">
      <c r="A322" s="4" t="s">
        <v>5</v>
      </c>
      <c r="B322" s="4"/>
      <c r="C322" s="4" t="s">
        <v>1142</v>
      </c>
      <c r="D322" s="4" t="s">
        <v>601</v>
      </c>
      <c r="E322" s="4">
        <v>34678678678</v>
      </c>
      <c r="F322" s="4" t="s">
        <v>56</v>
      </c>
      <c r="G322" s="32">
        <v>45909</v>
      </c>
      <c r="H322" s="4" t="s">
        <v>856</v>
      </c>
      <c r="I322" s="4" t="s">
        <v>459</v>
      </c>
      <c r="J322" s="66" t="b">
        <v>0</v>
      </c>
      <c r="K322" s="67" t="b">
        <v>0</v>
      </c>
      <c r="L322" s="68" t="b">
        <v>0</v>
      </c>
      <c r="M322" s="66" t="b">
        <v>0</v>
      </c>
      <c r="N322" s="67" t="b">
        <v>0</v>
      </c>
      <c r="O322" s="68" t="b">
        <v>0</v>
      </c>
      <c r="P322" s="66" t="b">
        <v>0</v>
      </c>
      <c r="Q322" s="67" t="b">
        <v>0</v>
      </c>
      <c r="R322" s="68" t="b">
        <v>0</v>
      </c>
      <c r="S322" s="8"/>
    </row>
    <row r="323" spans="1:24" ht="12.5">
      <c r="A323" s="4" t="s">
        <v>5</v>
      </c>
      <c r="B323" s="4"/>
      <c r="C323" s="4" t="s">
        <v>1143</v>
      </c>
      <c r="D323" s="4" t="s">
        <v>1144</v>
      </c>
      <c r="E323" s="4">
        <v>16471150650</v>
      </c>
      <c r="F323" s="4" t="s">
        <v>82</v>
      </c>
      <c r="G323" s="32">
        <v>45909</v>
      </c>
      <c r="H323" s="4" t="s">
        <v>856</v>
      </c>
      <c r="I323" s="4" t="s">
        <v>459</v>
      </c>
      <c r="J323" s="66" t="b">
        <v>0</v>
      </c>
      <c r="K323" s="67" t="b">
        <v>0</v>
      </c>
      <c r="L323" s="68" t="b">
        <v>1</v>
      </c>
      <c r="M323" s="66" t="b">
        <v>0</v>
      </c>
      <c r="N323" s="67" t="b">
        <v>0</v>
      </c>
      <c r="O323" s="68" t="b">
        <v>0</v>
      </c>
      <c r="P323" s="66" t="b">
        <v>0</v>
      </c>
      <c r="Q323" s="67" t="b">
        <v>0</v>
      </c>
      <c r="R323" s="68" t="b">
        <v>0</v>
      </c>
      <c r="S323" s="8"/>
    </row>
    <row r="324" spans="1:24" ht="12.5">
      <c r="A324" s="4" t="s">
        <v>5</v>
      </c>
      <c r="B324" s="4"/>
      <c r="C324" s="4" t="s">
        <v>1145</v>
      </c>
      <c r="D324" s="4" t="s">
        <v>1146</v>
      </c>
      <c r="E324" s="4">
        <v>51972305153</v>
      </c>
      <c r="F324" s="4" t="s">
        <v>1147</v>
      </c>
      <c r="G324" s="32">
        <v>45909</v>
      </c>
      <c r="H324" s="4" t="s">
        <v>856</v>
      </c>
      <c r="I324" s="4" t="s">
        <v>459</v>
      </c>
      <c r="J324" s="66" t="b">
        <v>0</v>
      </c>
      <c r="K324" s="67" t="b">
        <v>1</v>
      </c>
      <c r="L324" s="68" t="b">
        <v>0</v>
      </c>
      <c r="M324" s="66" t="b">
        <v>0</v>
      </c>
      <c r="N324" s="67" t="b">
        <v>1</v>
      </c>
      <c r="O324" s="68" t="b">
        <v>0</v>
      </c>
      <c r="P324" s="66" t="b">
        <v>0</v>
      </c>
      <c r="Q324" s="67" t="b">
        <v>0</v>
      </c>
      <c r="R324" s="68" t="b">
        <v>0</v>
      </c>
      <c r="S324" s="8"/>
    </row>
    <row r="325" spans="1:24" ht="12.5">
      <c r="A325" s="4" t="s">
        <v>5</v>
      </c>
      <c r="B325" s="17"/>
      <c r="C325" s="17" t="s">
        <v>73</v>
      </c>
      <c r="D325" s="17" t="s">
        <v>74</v>
      </c>
      <c r="E325" s="4">
        <v>34603277713</v>
      </c>
      <c r="F325" s="4" t="s">
        <v>8</v>
      </c>
      <c r="G325" s="32">
        <v>45909</v>
      </c>
      <c r="H325" s="4" t="s">
        <v>956</v>
      </c>
      <c r="I325" s="4" t="s">
        <v>448</v>
      </c>
      <c r="J325" s="66" t="b">
        <v>0</v>
      </c>
      <c r="K325" s="67" t="b">
        <v>1</v>
      </c>
      <c r="L325" s="68" t="b">
        <v>0</v>
      </c>
      <c r="M325" s="66" t="b">
        <v>0</v>
      </c>
      <c r="N325" s="67" t="b">
        <v>0</v>
      </c>
      <c r="O325" s="68" t="b">
        <v>0</v>
      </c>
      <c r="P325" s="66" t="b">
        <v>0</v>
      </c>
      <c r="Q325" s="67" t="b">
        <v>0</v>
      </c>
      <c r="R325" s="68" t="b">
        <v>0</v>
      </c>
      <c r="S325" s="8"/>
      <c r="T325" s="5">
        <v>45909</v>
      </c>
      <c r="U325" s="6">
        <v>149.5</v>
      </c>
      <c r="V325" s="7">
        <v>0.5</v>
      </c>
      <c r="W325" s="4">
        <v>1</v>
      </c>
      <c r="X325" s="8">
        <v>45658</v>
      </c>
    </row>
    <row r="326" spans="1:24" ht="12.5">
      <c r="A326" s="81" t="s">
        <v>381</v>
      </c>
      <c r="B326" s="83"/>
      <c r="C326" s="83" t="s">
        <v>1148</v>
      </c>
      <c r="D326" s="17" t="s">
        <v>1149</v>
      </c>
      <c r="E326" s="4">
        <v>593980190807</v>
      </c>
      <c r="F326" s="4" t="s">
        <v>1150</v>
      </c>
      <c r="G326" s="32">
        <v>45909</v>
      </c>
      <c r="H326" s="4" t="s">
        <v>856</v>
      </c>
      <c r="I326" s="4" t="s">
        <v>459</v>
      </c>
      <c r="J326" s="66" t="b">
        <v>0</v>
      </c>
      <c r="K326" s="67" t="b">
        <v>1</v>
      </c>
      <c r="L326" s="68" t="b">
        <v>0</v>
      </c>
      <c r="M326" s="66" t="b">
        <v>0</v>
      </c>
      <c r="N326" s="67" t="b">
        <v>0</v>
      </c>
      <c r="O326" s="68" t="b">
        <v>0</v>
      </c>
      <c r="P326" s="66" t="b">
        <v>0</v>
      </c>
      <c r="Q326" s="67" t="b">
        <v>0</v>
      </c>
      <c r="R326" s="68" t="b">
        <v>0</v>
      </c>
      <c r="S326" s="8"/>
      <c r="T326" s="5"/>
      <c r="U326" s="6"/>
      <c r="V326" s="7"/>
      <c r="W326" s="4"/>
      <c r="X326" s="8"/>
    </row>
    <row r="327" spans="1:24" ht="14">
      <c r="A327" s="4" t="s">
        <v>5</v>
      </c>
      <c r="B327" s="4"/>
      <c r="C327" s="4" t="s">
        <v>1151</v>
      </c>
      <c r="D327" s="21"/>
      <c r="E327" s="4">
        <v>593962578478</v>
      </c>
      <c r="F327" s="4" t="s">
        <v>1152</v>
      </c>
      <c r="G327" s="32">
        <v>45910</v>
      </c>
      <c r="H327" s="4" t="s">
        <v>956</v>
      </c>
      <c r="I327" s="4" t="s">
        <v>459</v>
      </c>
      <c r="J327" s="66" t="b">
        <v>0</v>
      </c>
      <c r="K327" s="67" t="b">
        <v>1</v>
      </c>
      <c r="L327" s="68" t="b">
        <v>0</v>
      </c>
      <c r="M327" s="66" t="b">
        <v>0</v>
      </c>
      <c r="N327" s="67" t="b">
        <v>0</v>
      </c>
      <c r="O327" s="68" t="b">
        <v>0</v>
      </c>
      <c r="P327" s="66" t="b">
        <v>0</v>
      </c>
      <c r="Q327" s="67" t="b">
        <v>0</v>
      </c>
      <c r="R327" s="68" t="b">
        <v>0</v>
      </c>
      <c r="S327" s="8"/>
    </row>
    <row r="328" spans="1:24" ht="14">
      <c r="A328" s="4" t="s">
        <v>5</v>
      </c>
      <c r="B328" s="4" t="s">
        <v>119</v>
      </c>
      <c r="C328" s="4" t="s">
        <v>1153</v>
      </c>
      <c r="D328" s="21" t="s">
        <v>1154</v>
      </c>
      <c r="E328" s="4">
        <v>34679482397</v>
      </c>
      <c r="F328" s="4" t="s">
        <v>27</v>
      </c>
      <c r="G328" s="32">
        <v>45910</v>
      </c>
      <c r="H328" s="4" t="s">
        <v>856</v>
      </c>
      <c r="I328" s="4" t="s">
        <v>459</v>
      </c>
      <c r="J328" s="68" t="b">
        <v>1</v>
      </c>
      <c r="K328" s="67" t="b">
        <v>0</v>
      </c>
      <c r="L328" s="68" t="b">
        <v>0</v>
      </c>
      <c r="M328" s="66" t="b">
        <v>0</v>
      </c>
      <c r="N328" s="67" t="b">
        <v>1</v>
      </c>
      <c r="O328" s="68" t="b">
        <v>0</v>
      </c>
      <c r="P328" s="66" t="b">
        <v>0</v>
      </c>
      <c r="Q328" s="67" t="b">
        <v>0</v>
      </c>
      <c r="R328" s="68" t="b">
        <v>0</v>
      </c>
      <c r="S328" s="8"/>
    </row>
    <row r="329" spans="1:24" ht="14">
      <c r="A329" s="4" t="s">
        <v>5</v>
      </c>
      <c r="B329" s="4"/>
      <c r="C329" s="4" t="s">
        <v>1155</v>
      </c>
      <c r="D329" s="21" t="s">
        <v>1156</v>
      </c>
      <c r="E329" s="4">
        <v>34655045695</v>
      </c>
      <c r="F329" s="4" t="s">
        <v>172</v>
      </c>
      <c r="G329" s="32">
        <v>45911</v>
      </c>
      <c r="H329" s="4" t="s">
        <v>856</v>
      </c>
      <c r="I329" s="4" t="s">
        <v>459</v>
      </c>
      <c r="J329" s="66" t="b">
        <v>1</v>
      </c>
      <c r="K329" s="67" t="b">
        <v>1</v>
      </c>
      <c r="L329" s="68" t="b">
        <v>0</v>
      </c>
      <c r="M329" s="66" t="b">
        <v>0</v>
      </c>
      <c r="N329" s="67" t="b">
        <v>0</v>
      </c>
      <c r="O329" s="68" t="b">
        <v>0</v>
      </c>
      <c r="P329" s="66" t="b">
        <v>0</v>
      </c>
      <c r="Q329" s="67" t="b">
        <v>0</v>
      </c>
      <c r="R329" s="68" t="b">
        <v>0</v>
      </c>
      <c r="S329" s="8"/>
    </row>
    <row r="330" spans="1:24" ht="14">
      <c r="A330" s="4" t="s">
        <v>5</v>
      </c>
      <c r="B330" s="4"/>
      <c r="C330" s="4" t="s">
        <v>1157</v>
      </c>
      <c r="D330" s="21" t="s">
        <v>1158</v>
      </c>
      <c r="E330" s="4">
        <v>34622150259</v>
      </c>
      <c r="F330" s="4" t="s">
        <v>8</v>
      </c>
      <c r="G330" s="32">
        <v>45911</v>
      </c>
      <c r="H330" s="4" t="s">
        <v>856</v>
      </c>
      <c r="I330" s="4" t="s">
        <v>459</v>
      </c>
      <c r="J330" s="66" t="b">
        <v>1</v>
      </c>
      <c r="K330" s="67" t="b">
        <v>1</v>
      </c>
      <c r="L330" s="68" t="b">
        <v>0</v>
      </c>
      <c r="M330" s="66" t="b">
        <v>0</v>
      </c>
      <c r="N330" s="67" t="b">
        <v>1</v>
      </c>
      <c r="O330" s="68" t="b">
        <v>0</v>
      </c>
      <c r="P330" s="66" t="b">
        <v>0</v>
      </c>
      <c r="Q330" s="67" t="b">
        <v>0</v>
      </c>
      <c r="R330" s="68" t="b">
        <v>0</v>
      </c>
      <c r="S330" s="8"/>
    </row>
    <row r="331" spans="1:24" ht="14">
      <c r="A331" s="4" t="s">
        <v>5</v>
      </c>
      <c r="B331" s="4"/>
      <c r="C331" s="4" t="s">
        <v>1159</v>
      </c>
      <c r="D331" s="21" t="s">
        <v>1160</v>
      </c>
      <c r="E331" s="4">
        <v>34610695791</v>
      </c>
      <c r="F331" s="4" t="s">
        <v>8</v>
      </c>
      <c r="G331" s="32">
        <v>45911</v>
      </c>
      <c r="H331" s="4" t="s">
        <v>856</v>
      </c>
      <c r="I331" s="4" t="s">
        <v>1015</v>
      </c>
      <c r="J331" s="66" t="b">
        <v>0</v>
      </c>
      <c r="K331" s="67" t="b">
        <v>1</v>
      </c>
      <c r="L331" s="68" t="b">
        <v>0</v>
      </c>
      <c r="M331" s="66" t="b">
        <v>0</v>
      </c>
      <c r="N331" s="67" t="b">
        <v>0</v>
      </c>
      <c r="O331" s="68" t="b">
        <v>0</v>
      </c>
      <c r="P331" s="66" t="b">
        <v>0</v>
      </c>
      <c r="Q331" s="67" t="b">
        <v>0</v>
      </c>
      <c r="R331" s="68" t="b">
        <v>0</v>
      </c>
      <c r="S331" s="8"/>
    </row>
    <row r="332" spans="1:24" ht="12.5">
      <c r="A332" s="4" t="s">
        <v>1044</v>
      </c>
      <c r="B332" s="4"/>
      <c r="C332" s="4" t="s">
        <v>1161</v>
      </c>
      <c r="E332" s="4">
        <v>5491126716902</v>
      </c>
      <c r="F332" s="4" t="s">
        <v>775</v>
      </c>
      <c r="G332" s="32">
        <v>45911</v>
      </c>
      <c r="H332" s="4" t="s">
        <v>956</v>
      </c>
      <c r="I332" s="4" t="s">
        <v>886</v>
      </c>
      <c r="J332" s="66" t="b">
        <v>0</v>
      </c>
      <c r="K332" s="67" t="b">
        <v>1</v>
      </c>
      <c r="L332" s="68" t="b">
        <v>0</v>
      </c>
      <c r="M332" s="66" t="b">
        <v>0</v>
      </c>
      <c r="N332" s="67" t="b">
        <v>0</v>
      </c>
      <c r="O332" s="68" t="b">
        <v>0</v>
      </c>
      <c r="P332" s="66" t="b">
        <v>0</v>
      </c>
      <c r="Q332" s="67" t="b">
        <v>0</v>
      </c>
      <c r="R332" s="68" t="b">
        <v>0</v>
      </c>
      <c r="S332" s="8"/>
    </row>
    <row r="333" spans="1:24" ht="12.5">
      <c r="A333" s="4" t="s">
        <v>1044</v>
      </c>
      <c r="B333" s="4"/>
      <c r="C333" s="4" t="s">
        <v>1162</v>
      </c>
      <c r="E333" s="4">
        <v>5491140812452</v>
      </c>
      <c r="F333" s="4" t="s">
        <v>636</v>
      </c>
      <c r="G333" s="32">
        <v>45911</v>
      </c>
      <c r="H333" s="4" t="s">
        <v>956</v>
      </c>
      <c r="I333" s="4" t="s">
        <v>459</v>
      </c>
      <c r="J333" s="66" t="b">
        <v>0</v>
      </c>
      <c r="K333" s="67" t="b">
        <v>1</v>
      </c>
      <c r="L333" s="68" t="b">
        <v>0</v>
      </c>
      <c r="M333" s="66" t="b">
        <v>0</v>
      </c>
      <c r="N333" s="67" t="b">
        <v>0</v>
      </c>
      <c r="O333" s="68" t="b">
        <v>0</v>
      </c>
      <c r="P333" s="66" t="b">
        <v>0</v>
      </c>
      <c r="Q333" s="67" t="b">
        <v>0</v>
      </c>
      <c r="R333" s="68" t="b">
        <v>0</v>
      </c>
      <c r="S333" s="8"/>
    </row>
    <row r="334" spans="1:24" ht="12.5">
      <c r="A334" s="4" t="s">
        <v>5</v>
      </c>
      <c r="B334" s="4"/>
      <c r="C334" s="4" t="s">
        <v>1163</v>
      </c>
      <c r="D334" s="4" t="s">
        <v>1164</v>
      </c>
      <c r="E334" s="4">
        <v>34620890372</v>
      </c>
      <c r="F334" s="4" t="s">
        <v>30</v>
      </c>
      <c r="G334" s="32">
        <v>45911</v>
      </c>
      <c r="H334" s="4" t="s">
        <v>856</v>
      </c>
      <c r="I334" s="4" t="s">
        <v>459</v>
      </c>
      <c r="J334" s="66" t="b">
        <v>0</v>
      </c>
      <c r="K334" s="67" t="b">
        <v>1</v>
      </c>
      <c r="L334" s="68" t="b">
        <v>0</v>
      </c>
      <c r="M334" s="66" t="b">
        <v>0</v>
      </c>
      <c r="N334" s="67" t="b">
        <v>0</v>
      </c>
      <c r="O334" s="68" t="b">
        <v>0</v>
      </c>
      <c r="P334" s="66" t="b">
        <v>0</v>
      </c>
      <c r="Q334" s="67" t="b">
        <v>0</v>
      </c>
      <c r="R334" s="68" t="b">
        <v>0</v>
      </c>
      <c r="S334" s="8"/>
    </row>
    <row r="335" spans="1:24" ht="12.5">
      <c r="A335" s="4" t="s">
        <v>5</v>
      </c>
      <c r="B335" s="4"/>
      <c r="C335" s="4" t="s">
        <v>1165</v>
      </c>
      <c r="D335" s="4" t="s">
        <v>1166</v>
      </c>
      <c r="E335" s="4">
        <v>56997443065</v>
      </c>
      <c r="F335" s="4" t="s">
        <v>1167</v>
      </c>
      <c r="G335" s="32">
        <v>45912</v>
      </c>
      <c r="H335" s="4" t="s">
        <v>856</v>
      </c>
      <c r="I335" s="4" t="s">
        <v>459</v>
      </c>
      <c r="J335" s="66" t="b">
        <v>0</v>
      </c>
      <c r="K335" s="67" t="b">
        <v>1</v>
      </c>
      <c r="L335" s="68" t="b">
        <v>0</v>
      </c>
      <c r="M335" s="66" t="b">
        <v>0</v>
      </c>
      <c r="N335" s="67" t="b">
        <v>1</v>
      </c>
      <c r="O335" s="68" t="b">
        <v>0</v>
      </c>
      <c r="P335" s="66" t="b">
        <v>0</v>
      </c>
      <c r="Q335" s="67" t="b">
        <v>0</v>
      </c>
      <c r="R335" s="68" t="b">
        <v>0</v>
      </c>
      <c r="S335" s="8"/>
    </row>
    <row r="336" spans="1:24" ht="12.5">
      <c r="A336" s="4" t="s">
        <v>5</v>
      </c>
      <c r="B336" s="4"/>
      <c r="C336" s="4" t="s">
        <v>1168</v>
      </c>
      <c r="D336" s="4" t="s">
        <v>1169</v>
      </c>
      <c r="E336" s="4">
        <v>522299292157</v>
      </c>
      <c r="F336" s="4" t="s">
        <v>343</v>
      </c>
      <c r="G336" s="32">
        <v>45912</v>
      </c>
      <c r="H336" s="4" t="s">
        <v>856</v>
      </c>
      <c r="I336" s="4" t="s">
        <v>459</v>
      </c>
      <c r="J336" s="66" t="b">
        <v>0</v>
      </c>
      <c r="K336" s="67" t="b">
        <v>1</v>
      </c>
      <c r="L336" s="68" t="b">
        <v>0</v>
      </c>
      <c r="M336" s="66" t="b">
        <v>0</v>
      </c>
      <c r="N336" s="67" t="b">
        <v>0</v>
      </c>
      <c r="O336" s="68" t="b">
        <v>0</v>
      </c>
      <c r="P336" s="66" t="b">
        <v>0</v>
      </c>
      <c r="Q336" s="67" t="b">
        <v>0</v>
      </c>
      <c r="R336" s="68" t="b">
        <v>0</v>
      </c>
      <c r="S336" s="8"/>
    </row>
    <row r="337" spans="1:24" ht="12.5">
      <c r="A337" s="81" t="s">
        <v>381</v>
      </c>
      <c r="B337" s="4"/>
      <c r="C337" s="4" t="s">
        <v>1170</v>
      </c>
      <c r="D337" s="4" t="s">
        <v>1171</v>
      </c>
      <c r="E337" s="4">
        <v>675153028</v>
      </c>
      <c r="F337" s="4" t="s">
        <v>1172</v>
      </c>
      <c r="G337" s="32">
        <v>45912</v>
      </c>
      <c r="H337" s="4" t="s">
        <v>856</v>
      </c>
      <c r="I337" s="4" t="s">
        <v>459</v>
      </c>
      <c r="J337" s="66" t="b">
        <v>0</v>
      </c>
      <c r="K337" s="67" t="b">
        <v>1</v>
      </c>
      <c r="L337" s="68" t="b">
        <v>0</v>
      </c>
      <c r="M337" s="66" t="b">
        <v>0</v>
      </c>
      <c r="N337" s="67" t="b">
        <v>0</v>
      </c>
      <c r="O337" s="68" t="b">
        <v>0</v>
      </c>
      <c r="P337" s="66" t="b">
        <v>0</v>
      </c>
      <c r="Q337" s="67" t="b">
        <v>0</v>
      </c>
      <c r="R337" s="68" t="b">
        <v>0</v>
      </c>
      <c r="S337" s="8"/>
    </row>
    <row r="338" spans="1:24" ht="12.5">
      <c r="A338" s="4" t="s">
        <v>5</v>
      </c>
      <c r="B338" s="4"/>
      <c r="C338" s="4" t="s">
        <v>1173</v>
      </c>
      <c r="D338" s="4" t="s">
        <v>1174</v>
      </c>
      <c r="E338" s="4">
        <v>34623271932</v>
      </c>
      <c r="F338" s="4" t="s">
        <v>8</v>
      </c>
      <c r="G338" s="32">
        <v>45912</v>
      </c>
      <c r="H338" s="4" t="s">
        <v>856</v>
      </c>
      <c r="I338" s="4" t="s">
        <v>459</v>
      </c>
      <c r="J338" s="66" t="b">
        <v>0</v>
      </c>
      <c r="K338" s="67" t="b">
        <v>1</v>
      </c>
      <c r="L338" s="68" t="b">
        <v>0</v>
      </c>
      <c r="M338" s="66" t="b">
        <v>0</v>
      </c>
      <c r="N338" s="67" t="b">
        <v>0</v>
      </c>
      <c r="O338" s="68" t="b">
        <v>0</v>
      </c>
      <c r="P338" s="66" t="b">
        <v>0</v>
      </c>
      <c r="Q338" s="67" t="b">
        <v>0</v>
      </c>
      <c r="R338" s="68" t="b">
        <v>0</v>
      </c>
      <c r="S338" s="8"/>
    </row>
    <row r="339" spans="1:24" ht="12.5">
      <c r="A339" s="4" t="s">
        <v>5</v>
      </c>
      <c r="B339" s="4"/>
      <c r="C339" s="4" t="s">
        <v>1175</v>
      </c>
      <c r="D339" s="4" t="s">
        <v>1176</v>
      </c>
      <c r="E339" s="4">
        <v>34665544662</v>
      </c>
      <c r="F339" s="4" t="s">
        <v>27</v>
      </c>
      <c r="G339" s="32">
        <v>45912</v>
      </c>
      <c r="H339" s="4" t="s">
        <v>856</v>
      </c>
      <c r="I339" s="4" t="s">
        <v>459</v>
      </c>
      <c r="J339" s="66" t="b">
        <v>0</v>
      </c>
      <c r="K339" s="67" t="b">
        <v>1</v>
      </c>
      <c r="L339" s="68" t="b">
        <v>0</v>
      </c>
      <c r="M339" s="66" t="b">
        <v>0</v>
      </c>
      <c r="N339" s="67" t="b">
        <v>1</v>
      </c>
      <c r="O339" s="68" t="b">
        <v>0</v>
      </c>
      <c r="P339" s="66" t="b">
        <v>0</v>
      </c>
      <c r="Q339" s="67" t="b">
        <v>0</v>
      </c>
      <c r="R339" s="68" t="b">
        <v>0</v>
      </c>
      <c r="S339" s="8"/>
    </row>
    <row r="340" spans="1:24" ht="12.5">
      <c r="A340" s="4" t="s">
        <v>5</v>
      </c>
      <c r="B340" s="4" t="s">
        <v>119</v>
      </c>
      <c r="C340" s="4" t="s">
        <v>1177</v>
      </c>
      <c r="D340" s="4" t="s">
        <v>1178</v>
      </c>
      <c r="E340" s="4">
        <v>34678097749</v>
      </c>
      <c r="F340" s="4" t="s">
        <v>1179</v>
      </c>
      <c r="G340" s="32">
        <v>45912</v>
      </c>
      <c r="H340" s="4" t="s">
        <v>856</v>
      </c>
      <c r="I340" s="4" t="s">
        <v>459</v>
      </c>
      <c r="J340" s="66" t="b">
        <v>0</v>
      </c>
      <c r="K340" s="67" t="b">
        <v>1</v>
      </c>
      <c r="L340" s="68" t="b">
        <v>0</v>
      </c>
      <c r="M340" s="66" t="b">
        <v>0</v>
      </c>
      <c r="N340" s="67" t="b">
        <v>0</v>
      </c>
      <c r="O340" s="68" t="b">
        <v>0</v>
      </c>
      <c r="P340" s="66" t="b">
        <v>0</v>
      </c>
      <c r="Q340" s="67" t="b">
        <v>0</v>
      </c>
      <c r="R340" s="68" t="b">
        <v>0</v>
      </c>
      <c r="S340" s="8"/>
    </row>
    <row r="341" spans="1:24" ht="12.5">
      <c r="A341" s="4" t="s">
        <v>5</v>
      </c>
      <c r="B341" s="4"/>
      <c r="C341" s="4" t="s">
        <v>75</v>
      </c>
      <c r="D341" s="4" t="s">
        <v>76</v>
      </c>
      <c r="E341" s="84">
        <v>34633650265</v>
      </c>
      <c r="F341" s="4" t="s">
        <v>8</v>
      </c>
      <c r="G341" s="32">
        <v>45912</v>
      </c>
      <c r="H341" s="4" t="s">
        <v>856</v>
      </c>
      <c r="I341" s="4" t="s">
        <v>448</v>
      </c>
      <c r="J341" s="68" t="b">
        <v>0</v>
      </c>
      <c r="K341" s="67" t="b">
        <v>0</v>
      </c>
      <c r="L341" s="68" t="b">
        <v>0</v>
      </c>
      <c r="M341" s="66" t="b">
        <v>0</v>
      </c>
      <c r="N341" s="67" t="b">
        <v>0</v>
      </c>
      <c r="O341" s="68" t="b">
        <v>0</v>
      </c>
      <c r="P341" s="66" t="b">
        <v>0</v>
      </c>
      <c r="Q341" s="67" t="b">
        <v>0</v>
      </c>
      <c r="R341" s="68" t="b">
        <v>0</v>
      </c>
      <c r="S341" s="4" t="s">
        <v>945</v>
      </c>
      <c r="T341" s="5">
        <v>45915</v>
      </c>
      <c r="U341" s="6">
        <v>149.5</v>
      </c>
      <c r="V341" s="7">
        <v>0.5</v>
      </c>
      <c r="W341" s="4">
        <v>1</v>
      </c>
      <c r="X341" s="8">
        <v>45658</v>
      </c>
    </row>
    <row r="342" spans="1:24" ht="12.5">
      <c r="A342" s="4" t="s">
        <v>5</v>
      </c>
      <c r="B342" s="4"/>
      <c r="C342" s="4" t="s">
        <v>1180</v>
      </c>
      <c r="D342" s="4" t="s">
        <v>1181</v>
      </c>
      <c r="E342" s="84">
        <v>34610653313</v>
      </c>
      <c r="F342" s="4" t="s">
        <v>70</v>
      </c>
      <c r="G342" s="32">
        <v>45913</v>
      </c>
      <c r="H342" s="4" t="s">
        <v>856</v>
      </c>
      <c r="I342" s="4" t="s">
        <v>459</v>
      </c>
      <c r="J342" s="68" t="b">
        <v>1</v>
      </c>
      <c r="K342" s="67" t="b">
        <v>1</v>
      </c>
      <c r="L342" s="68" t="b">
        <v>0</v>
      </c>
      <c r="M342" s="66" t="b">
        <v>0</v>
      </c>
      <c r="N342" s="67" t="b">
        <v>0</v>
      </c>
      <c r="O342" s="68" t="b">
        <v>0</v>
      </c>
      <c r="P342" s="66" t="b">
        <v>0</v>
      </c>
      <c r="Q342" s="67" t="b">
        <v>0</v>
      </c>
      <c r="R342" s="68" t="b">
        <v>0</v>
      </c>
      <c r="S342" s="8"/>
    </row>
    <row r="343" spans="1:24" ht="12.5">
      <c r="A343" s="4" t="s">
        <v>5</v>
      </c>
      <c r="B343" s="4"/>
      <c r="C343" s="4" t="s">
        <v>1182</v>
      </c>
      <c r="D343" s="4" t="s">
        <v>1183</v>
      </c>
      <c r="E343" s="4">
        <v>34606902634</v>
      </c>
      <c r="F343" s="4" t="s">
        <v>297</v>
      </c>
      <c r="G343" s="32">
        <v>45913</v>
      </c>
      <c r="H343" s="4" t="s">
        <v>856</v>
      </c>
      <c r="I343" s="4" t="s">
        <v>459</v>
      </c>
      <c r="J343" s="66" t="b">
        <v>0</v>
      </c>
      <c r="K343" s="67" t="b">
        <v>1</v>
      </c>
      <c r="L343" s="68" t="b">
        <v>0</v>
      </c>
      <c r="M343" s="66" t="b">
        <v>0</v>
      </c>
      <c r="N343" s="67" t="b">
        <v>0</v>
      </c>
      <c r="O343" s="68" t="b">
        <v>0</v>
      </c>
      <c r="P343" s="66" t="b">
        <v>0</v>
      </c>
      <c r="Q343" s="67" t="b">
        <v>0</v>
      </c>
      <c r="R343" s="68" t="b">
        <v>0</v>
      </c>
      <c r="S343" s="8"/>
    </row>
    <row r="344" spans="1:24" ht="12.5">
      <c r="A344" s="4" t="s">
        <v>5</v>
      </c>
      <c r="B344" s="4"/>
      <c r="C344" s="4" t="s">
        <v>1184</v>
      </c>
      <c r="D344" s="4" t="s">
        <v>1185</v>
      </c>
      <c r="E344" s="4">
        <v>34608733947</v>
      </c>
      <c r="F344" s="4" t="s">
        <v>97</v>
      </c>
      <c r="G344" s="32">
        <v>45914</v>
      </c>
      <c r="H344" s="4" t="s">
        <v>856</v>
      </c>
      <c r="I344" s="4" t="s">
        <v>459</v>
      </c>
      <c r="J344" s="68" t="b">
        <v>1</v>
      </c>
      <c r="K344" s="67" t="b">
        <v>1</v>
      </c>
      <c r="L344" s="68" t="b">
        <v>0</v>
      </c>
      <c r="M344" s="66" t="b">
        <v>0</v>
      </c>
      <c r="N344" s="67" t="b">
        <v>0</v>
      </c>
      <c r="O344" s="68" t="b">
        <v>0</v>
      </c>
      <c r="P344" s="66" t="b">
        <v>0</v>
      </c>
      <c r="Q344" s="67" t="b">
        <v>0</v>
      </c>
      <c r="R344" s="68" t="b">
        <v>0</v>
      </c>
      <c r="S344" s="8"/>
    </row>
    <row r="345" spans="1:24" ht="12.5">
      <c r="A345" s="4" t="s">
        <v>5</v>
      </c>
      <c r="B345" s="4"/>
      <c r="C345" s="4" t="s">
        <v>1186</v>
      </c>
      <c r="D345" s="4" t="s">
        <v>1187</v>
      </c>
      <c r="E345" s="4">
        <v>584142472984</v>
      </c>
      <c r="F345" s="4" t="s">
        <v>1188</v>
      </c>
      <c r="G345" s="32">
        <v>45914</v>
      </c>
      <c r="H345" s="4" t="s">
        <v>856</v>
      </c>
      <c r="I345" s="4" t="s">
        <v>459</v>
      </c>
      <c r="J345" s="66" t="b">
        <v>0</v>
      </c>
      <c r="K345" s="67" t="b">
        <v>1</v>
      </c>
      <c r="L345" s="68" t="b">
        <v>0</v>
      </c>
      <c r="M345" s="66" t="b">
        <v>0</v>
      </c>
      <c r="N345" s="67" t="b">
        <v>0</v>
      </c>
      <c r="O345" s="68" t="b">
        <v>0</v>
      </c>
      <c r="P345" s="66" t="b">
        <v>0</v>
      </c>
      <c r="Q345" s="67" t="b">
        <v>0</v>
      </c>
      <c r="R345" s="68" t="b">
        <v>0</v>
      </c>
      <c r="S345" s="8"/>
    </row>
    <row r="346" spans="1:24" ht="12.5">
      <c r="A346" s="4" t="s">
        <v>5</v>
      </c>
      <c r="B346" s="4"/>
      <c r="C346" s="4" t="s">
        <v>1186</v>
      </c>
      <c r="D346" s="4" t="s">
        <v>1187</v>
      </c>
      <c r="E346" s="4">
        <v>584142472984</v>
      </c>
      <c r="F346" s="4" t="s">
        <v>298</v>
      </c>
      <c r="G346" s="32">
        <v>45914</v>
      </c>
      <c r="H346" s="4" t="s">
        <v>856</v>
      </c>
      <c r="I346" s="4" t="s">
        <v>459</v>
      </c>
      <c r="J346" s="66" t="b">
        <v>0</v>
      </c>
      <c r="K346" s="67" t="b">
        <v>1</v>
      </c>
      <c r="L346" s="68" t="b">
        <v>0</v>
      </c>
      <c r="M346" s="66" t="b">
        <v>0</v>
      </c>
      <c r="N346" s="67" t="b">
        <v>0</v>
      </c>
      <c r="O346" s="68" t="b">
        <v>0</v>
      </c>
      <c r="P346" s="66" t="b">
        <v>0</v>
      </c>
      <c r="Q346" s="67" t="b">
        <v>0</v>
      </c>
      <c r="R346" s="68" t="b">
        <v>0</v>
      </c>
      <c r="S346" s="8"/>
    </row>
    <row r="347" spans="1:24" ht="12.5">
      <c r="A347" s="4" t="s">
        <v>5</v>
      </c>
      <c r="B347" s="4"/>
      <c r="C347" s="4" t="s">
        <v>1186</v>
      </c>
      <c r="D347" s="4" t="s">
        <v>1187</v>
      </c>
      <c r="E347" s="4">
        <v>584142472984</v>
      </c>
      <c r="F347" s="4" t="s">
        <v>1189</v>
      </c>
      <c r="G347" s="32">
        <v>45914</v>
      </c>
      <c r="H347" s="4" t="s">
        <v>856</v>
      </c>
      <c r="I347" s="4" t="s">
        <v>459</v>
      </c>
      <c r="J347" s="66" t="b">
        <v>0</v>
      </c>
      <c r="K347" s="67" t="b">
        <v>1</v>
      </c>
      <c r="L347" s="68" t="b">
        <v>0</v>
      </c>
      <c r="M347" s="66" t="b">
        <v>0</v>
      </c>
      <c r="N347" s="67" t="b">
        <v>0</v>
      </c>
      <c r="O347" s="68" t="b">
        <v>0</v>
      </c>
      <c r="P347" s="66" t="b">
        <v>0</v>
      </c>
      <c r="Q347" s="67" t="b">
        <v>0</v>
      </c>
      <c r="R347" s="68" t="b">
        <v>0</v>
      </c>
      <c r="S347" s="8"/>
    </row>
    <row r="348" spans="1:24" ht="12.5">
      <c r="A348" s="4" t="s">
        <v>5</v>
      </c>
      <c r="B348" s="4"/>
      <c r="C348" s="4" t="s">
        <v>1190</v>
      </c>
      <c r="D348" s="4" t="s">
        <v>1191</v>
      </c>
      <c r="E348" s="4">
        <v>34665928122</v>
      </c>
      <c r="F348" s="4" t="s">
        <v>172</v>
      </c>
      <c r="G348" s="32">
        <v>45914</v>
      </c>
      <c r="H348" s="4" t="s">
        <v>856</v>
      </c>
      <c r="I348" s="4" t="s">
        <v>459</v>
      </c>
      <c r="J348" s="66" t="b">
        <v>0</v>
      </c>
      <c r="K348" s="67" t="b">
        <v>1</v>
      </c>
      <c r="L348" s="68" t="b">
        <v>0</v>
      </c>
      <c r="M348" s="66" t="b">
        <v>0</v>
      </c>
      <c r="N348" s="67" t="b">
        <v>0</v>
      </c>
      <c r="O348" s="68" t="b">
        <v>0</v>
      </c>
      <c r="P348" s="66" t="b">
        <v>0</v>
      </c>
      <c r="Q348" s="67" t="b">
        <v>0</v>
      </c>
      <c r="R348" s="68" t="b">
        <v>0</v>
      </c>
      <c r="S348" s="8"/>
    </row>
    <row r="349" spans="1:24" ht="12.5">
      <c r="A349" s="4" t="s">
        <v>5</v>
      </c>
      <c r="B349" s="4"/>
      <c r="C349" s="4" t="s">
        <v>1192</v>
      </c>
      <c r="D349" s="4" t="s">
        <v>1193</v>
      </c>
      <c r="E349" s="4">
        <v>14387651482</v>
      </c>
      <c r="F349" s="4" t="s">
        <v>102</v>
      </c>
      <c r="G349" s="32">
        <v>45914</v>
      </c>
      <c r="H349" s="4" t="s">
        <v>856</v>
      </c>
      <c r="I349" s="4" t="s">
        <v>459</v>
      </c>
      <c r="J349" s="66" t="b">
        <v>0</v>
      </c>
      <c r="K349" s="67" t="b">
        <v>1</v>
      </c>
      <c r="L349" s="68" t="b">
        <v>0</v>
      </c>
      <c r="M349" s="66" t="b">
        <v>0</v>
      </c>
      <c r="N349" s="67" t="b">
        <v>0</v>
      </c>
      <c r="O349" s="68" t="b">
        <v>0</v>
      </c>
      <c r="P349" s="66" t="b">
        <v>0</v>
      </c>
      <c r="Q349" s="67" t="b">
        <v>0</v>
      </c>
      <c r="R349" s="68" t="b">
        <v>0</v>
      </c>
      <c r="S349" s="8"/>
    </row>
    <row r="350" spans="1:24" ht="12.5">
      <c r="A350" s="4" t="s">
        <v>5</v>
      </c>
      <c r="E350" s="4">
        <v>34658475519</v>
      </c>
      <c r="F350" s="4" t="s">
        <v>1194</v>
      </c>
      <c r="G350" s="32">
        <v>45914</v>
      </c>
      <c r="H350" s="4" t="s">
        <v>956</v>
      </c>
      <c r="I350" s="4" t="s">
        <v>886</v>
      </c>
      <c r="J350" s="66" t="b">
        <v>0</v>
      </c>
      <c r="K350" s="67" t="b">
        <v>1</v>
      </c>
      <c r="L350" s="68" t="b">
        <v>0</v>
      </c>
      <c r="M350" s="66" t="b">
        <v>0</v>
      </c>
      <c r="N350" s="67" t="b">
        <v>0</v>
      </c>
      <c r="O350" s="68" t="b">
        <v>0</v>
      </c>
      <c r="P350" s="66" t="b">
        <v>0</v>
      </c>
      <c r="Q350" s="67" t="b">
        <v>0</v>
      </c>
      <c r="R350" s="68" t="b">
        <v>0</v>
      </c>
      <c r="S350" s="8"/>
    </row>
    <row r="351" spans="1:24" ht="12.5">
      <c r="A351" s="4" t="s">
        <v>5</v>
      </c>
      <c r="B351" s="4"/>
      <c r="C351" s="4" t="s">
        <v>1195</v>
      </c>
      <c r="D351" s="4" t="s">
        <v>1183</v>
      </c>
      <c r="E351" s="4">
        <v>34606902634</v>
      </c>
      <c r="F351" s="4" t="s">
        <v>1196</v>
      </c>
      <c r="G351" s="32">
        <v>45915</v>
      </c>
      <c r="H351" s="4" t="s">
        <v>956</v>
      </c>
      <c r="I351" s="4" t="s">
        <v>459</v>
      </c>
      <c r="J351" s="66" t="b">
        <v>0</v>
      </c>
      <c r="K351" s="67" t="b">
        <v>1</v>
      </c>
      <c r="L351" s="68" t="b">
        <v>0</v>
      </c>
      <c r="M351" s="66" t="b">
        <v>0</v>
      </c>
      <c r="N351" s="67" t="b">
        <v>0</v>
      </c>
      <c r="O351" s="68" t="b">
        <v>0</v>
      </c>
      <c r="P351" s="66" t="b">
        <v>0</v>
      </c>
      <c r="Q351" s="67" t="b">
        <v>0</v>
      </c>
      <c r="R351" s="68" t="b">
        <v>0</v>
      </c>
      <c r="S351" s="8"/>
    </row>
    <row r="352" spans="1:24" ht="12.5">
      <c r="A352" s="4" t="s">
        <v>5</v>
      </c>
      <c r="B352" s="4"/>
      <c r="C352" s="4" t="s">
        <v>1197</v>
      </c>
      <c r="E352" s="4">
        <v>34685593722</v>
      </c>
      <c r="F352" s="4" t="s">
        <v>8</v>
      </c>
      <c r="G352" s="32">
        <v>45915</v>
      </c>
      <c r="H352" s="4" t="s">
        <v>956</v>
      </c>
      <c r="I352" s="4" t="s">
        <v>459</v>
      </c>
      <c r="J352" s="66" t="b">
        <v>0</v>
      </c>
      <c r="K352" s="67" t="b">
        <v>1</v>
      </c>
      <c r="L352" s="68" t="b">
        <v>0</v>
      </c>
      <c r="M352" s="66" t="b">
        <v>0</v>
      </c>
      <c r="N352" s="67" t="b">
        <v>0</v>
      </c>
      <c r="O352" s="68" t="b">
        <v>0</v>
      </c>
      <c r="P352" s="66" t="b">
        <v>0</v>
      </c>
      <c r="Q352" s="67" t="b">
        <v>0</v>
      </c>
      <c r="R352" s="68" t="b">
        <v>0</v>
      </c>
      <c r="S352" s="8"/>
    </row>
    <row r="353" spans="1:24" ht="12.5">
      <c r="A353" s="4" t="s">
        <v>5</v>
      </c>
      <c r="B353" s="4"/>
      <c r="C353" s="4" t="s">
        <v>1198</v>
      </c>
      <c r="D353" s="4" t="s">
        <v>1199</v>
      </c>
      <c r="E353" s="4">
        <v>51998033717</v>
      </c>
      <c r="F353" s="4" t="s">
        <v>284</v>
      </c>
      <c r="G353" s="32">
        <v>45915</v>
      </c>
      <c r="H353" s="4" t="s">
        <v>856</v>
      </c>
      <c r="I353" s="4" t="s">
        <v>459</v>
      </c>
      <c r="J353" s="66" t="b">
        <v>0</v>
      </c>
      <c r="K353" s="67" t="b">
        <v>1</v>
      </c>
      <c r="L353" s="68" t="b">
        <v>0</v>
      </c>
      <c r="M353" s="66" t="b">
        <v>0</v>
      </c>
      <c r="N353" s="67" t="b">
        <v>0</v>
      </c>
      <c r="O353" s="68" t="b">
        <v>0</v>
      </c>
      <c r="P353" s="66" t="b">
        <v>0</v>
      </c>
      <c r="Q353" s="67" t="b">
        <v>0</v>
      </c>
      <c r="R353" s="68" t="b">
        <v>0</v>
      </c>
      <c r="S353" s="8"/>
    </row>
    <row r="354" spans="1:24" ht="12.5">
      <c r="A354" s="4" t="s">
        <v>5</v>
      </c>
      <c r="B354" s="4"/>
      <c r="C354" s="4" t="s">
        <v>1200</v>
      </c>
      <c r="D354" s="4" t="s">
        <v>1201</v>
      </c>
      <c r="E354" s="4">
        <v>34639990899</v>
      </c>
      <c r="F354" s="4" t="s">
        <v>8</v>
      </c>
      <c r="G354" s="32">
        <v>45916</v>
      </c>
      <c r="H354" s="4" t="s">
        <v>856</v>
      </c>
      <c r="I354" s="4" t="s">
        <v>459</v>
      </c>
      <c r="J354" s="66" t="b">
        <v>0</v>
      </c>
      <c r="K354" s="67" t="b">
        <v>1</v>
      </c>
      <c r="L354" s="68" t="b">
        <v>0</v>
      </c>
      <c r="M354" s="66" t="b">
        <v>0</v>
      </c>
      <c r="N354" s="67" t="b">
        <v>0</v>
      </c>
      <c r="O354" s="68" t="b">
        <v>0</v>
      </c>
      <c r="P354" s="66" t="b">
        <v>0</v>
      </c>
      <c r="Q354" s="67" t="b">
        <v>0</v>
      </c>
      <c r="R354" s="68" t="b">
        <v>0</v>
      </c>
      <c r="S354" s="8"/>
    </row>
    <row r="355" spans="1:24" ht="12.5">
      <c r="A355" s="4" t="s">
        <v>5</v>
      </c>
      <c r="B355" s="4"/>
      <c r="C355" s="4" t="s">
        <v>287</v>
      </c>
      <c r="D355" s="4" t="s">
        <v>1202</v>
      </c>
      <c r="E355" s="4">
        <v>34928570375</v>
      </c>
      <c r="F355" s="4" t="s">
        <v>1203</v>
      </c>
      <c r="G355" s="32">
        <v>45916</v>
      </c>
      <c r="H355" s="4" t="s">
        <v>856</v>
      </c>
      <c r="I355" s="4" t="s">
        <v>459</v>
      </c>
      <c r="J355" s="68" t="b">
        <v>1</v>
      </c>
      <c r="K355" s="67" t="b">
        <v>0</v>
      </c>
      <c r="L355" s="68" t="b">
        <v>1</v>
      </c>
      <c r="M355" s="66" t="b">
        <v>0</v>
      </c>
      <c r="N355" s="67" t="b">
        <v>0</v>
      </c>
      <c r="O355" s="68" t="b">
        <v>0</v>
      </c>
      <c r="P355" s="66" t="b">
        <v>0</v>
      </c>
      <c r="Q355" s="67" t="b">
        <v>0</v>
      </c>
      <c r="R355" s="68" t="b">
        <v>0</v>
      </c>
      <c r="S355" s="8"/>
    </row>
    <row r="356" spans="1:24" ht="12.5">
      <c r="A356" s="4" t="s">
        <v>5</v>
      </c>
      <c r="B356" s="4"/>
      <c r="C356" s="4" t="s">
        <v>77</v>
      </c>
      <c r="D356" s="4" t="s">
        <v>78</v>
      </c>
      <c r="E356" s="4">
        <v>34658867204</v>
      </c>
      <c r="F356" s="4" t="s">
        <v>52</v>
      </c>
      <c r="G356" s="32">
        <v>45916</v>
      </c>
      <c r="H356" s="4" t="s">
        <v>956</v>
      </c>
      <c r="I356" s="4" t="s">
        <v>448</v>
      </c>
      <c r="J356" s="66" t="b">
        <v>1</v>
      </c>
      <c r="K356" s="67" t="b">
        <v>1</v>
      </c>
      <c r="L356" s="68" t="b">
        <v>0</v>
      </c>
      <c r="M356" s="66" t="b">
        <v>0</v>
      </c>
      <c r="N356" s="67" t="b">
        <v>0</v>
      </c>
      <c r="O356" s="68" t="b">
        <v>0</v>
      </c>
      <c r="P356" s="66" t="b">
        <v>0</v>
      </c>
      <c r="Q356" s="67" t="b">
        <v>0</v>
      </c>
      <c r="R356" s="68" t="b">
        <v>0</v>
      </c>
      <c r="S356" s="4" t="s">
        <v>945</v>
      </c>
      <c r="T356" s="50">
        <v>45916</v>
      </c>
      <c r="U356" s="6">
        <v>140</v>
      </c>
      <c r="V356" s="4">
        <v>0</v>
      </c>
      <c r="W356" s="4">
        <v>1</v>
      </c>
      <c r="X356" s="8">
        <v>45658</v>
      </c>
    </row>
    <row r="357" spans="1:24" ht="12.5">
      <c r="A357" s="4" t="s">
        <v>5</v>
      </c>
      <c r="B357" s="4"/>
      <c r="C357" s="4" t="s">
        <v>1204</v>
      </c>
      <c r="D357" s="4" t="s">
        <v>1205</v>
      </c>
      <c r="E357" s="4">
        <v>34697948050</v>
      </c>
      <c r="F357" s="4" t="s">
        <v>1206</v>
      </c>
      <c r="G357" s="32">
        <v>45916</v>
      </c>
      <c r="H357" s="4" t="s">
        <v>856</v>
      </c>
      <c r="I357" s="4" t="s">
        <v>459</v>
      </c>
      <c r="J357" s="68" t="b">
        <v>1</v>
      </c>
      <c r="K357" s="67" t="b">
        <v>1</v>
      </c>
      <c r="L357" s="68" t="b">
        <v>0</v>
      </c>
      <c r="M357" s="66" t="b">
        <v>0</v>
      </c>
      <c r="N357" s="67" t="b">
        <v>0</v>
      </c>
      <c r="O357" s="68" t="b">
        <v>0</v>
      </c>
      <c r="P357" s="66" t="b">
        <v>0</v>
      </c>
      <c r="Q357" s="67" t="b">
        <v>0</v>
      </c>
      <c r="R357" s="68" t="b">
        <v>0</v>
      </c>
      <c r="S357" s="4"/>
      <c r="T357" s="50"/>
      <c r="U357" s="6"/>
      <c r="V357" s="4"/>
      <c r="W357" s="4"/>
      <c r="X357" s="8"/>
    </row>
    <row r="358" spans="1:24" ht="12.5">
      <c r="A358" s="4" t="s">
        <v>5</v>
      </c>
      <c r="B358" s="4"/>
      <c r="C358" s="4" t="s">
        <v>1207</v>
      </c>
      <c r="D358" s="4" t="s">
        <v>81</v>
      </c>
      <c r="E358" s="4">
        <v>15879661534</v>
      </c>
      <c r="F358" s="4" t="s">
        <v>82</v>
      </c>
      <c r="G358" s="32">
        <v>45916</v>
      </c>
      <c r="H358" s="4" t="s">
        <v>956</v>
      </c>
      <c r="I358" s="4" t="s">
        <v>448</v>
      </c>
      <c r="J358" s="66" t="b">
        <v>0</v>
      </c>
      <c r="K358" s="67" t="b">
        <v>1</v>
      </c>
      <c r="L358" s="68" t="b">
        <v>0</v>
      </c>
      <c r="M358" s="66" t="b">
        <v>0</v>
      </c>
      <c r="N358" s="67" t="b">
        <v>0</v>
      </c>
      <c r="O358" s="68" t="b">
        <v>0</v>
      </c>
      <c r="P358" s="66" t="b">
        <v>0</v>
      </c>
      <c r="Q358" s="67" t="b">
        <v>0</v>
      </c>
      <c r="R358" s="68" t="b">
        <v>0</v>
      </c>
      <c r="S358" s="4" t="s">
        <v>945</v>
      </c>
      <c r="T358" s="50">
        <v>45920</v>
      </c>
      <c r="U358" s="6">
        <v>192.5</v>
      </c>
      <c r="V358" s="7">
        <v>0.3</v>
      </c>
      <c r="W358" s="4">
        <v>1</v>
      </c>
      <c r="X358" s="8">
        <v>45658</v>
      </c>
    </row>
    <row r="359" spans="1:24" ht="12.5">
      <c r="A359" s="4" t="s">
        <v>5</v>
      </c>
      <c r="B359" s="4"/>
      <c r="C359" s="4" t="s">
        <v>89</v>
      </c>
      <c r="D359" s="4" t="s">
        <v>90</v>
      </c>
      <c r="E359" s="4">
        <v>34671193904</v>
      </c>
      <c r="F359" s="4" t="s">
        <v>91</v>
      </c>
      <c r="G359" s="32">
        <v>45916</v>
      </c>
      <c r="H359" s="4" t="s">
        <v>856</v>
      </c>
      <c r="I359" s="4" t="s">
        <v>448</v>
      </c>
      <c r="J359" s="66" t="b">
        <v>0</v>
      </c>
      <c r="K359" s="67" t="b">
        <v>1</v>
      </c>
      <c r="L359" s="68" t="b">
        <v>0</v>
      </c>
      <c r="M359" s="66" t="b">
        <v>0</v>
      </c>
      <c r="N359" s="67" t="b">
        <v>0</v>
      </c>
      <c r="O359" s="68" t="b">
        <v>0</v>
      </c>
      <c r="P359" s="66" t="b">
        <v>0</v>
      </c>
      <c r="Q359" s="67" t="b">
        <v>0</v>
      </c>
      <c r="R359" s="68" t="b">
        <v>0</v>
      </c>
      <c r="S359" s="4" t="s">
        <v>945</v>
      </c>
      <c r="T359" s="50">
        <v>45926</v>
      </c>
      <c r="U359" s="6">
        <v>203</v>
      </c>
      <c r="V359" s="7">
        <v>0.3</v>
      </c>
      <c r="W359" s="4">
        <v>1</v>
      </c>
      <c r="X359" s="8">
        <v>45658</v>
      </c>
    </row>
    <row r="360" spans="1:24" ht="12.5">
      <c r="A360" s="4" t="s">
        <v>5</v>
      </c>
      <c r="B360" s="4"/>
      <c r="C360" s="4" t="s">
        <v>1208</v>
      </c>
      <c r="D360" s="4"/>
      <c r="E360" s="4">
        <v>595992535049</v>
      </c>
      <c r="F360" s="4" t="s">
        <v>322</v>
      </c>
      <c r="G360" s="32">
        <v>45916</v>
      </c>
      <c r="H360" s="4" t="s">
        <v>956</v>
      </c>
      <c r="I360" s="4" t="s">
        <v>459</v>
      </c>
      <c r="J360" s="66" t="b">
        <v>0</v>
      </c>
      <c r="K360" s="67" t="b">
        <v>1</v>
      </c>
      <c r="L360" s="68" t="b">
        <v>0</v>
      </c>
      <c r="M360" s="66" t="b">
        <v>0</v>
      </c>
      <c r="N360" s="67" t="b">
        <v>0</v>
      </c>
      <c r="O360" s="68" t="b">
        <v>0</v>
      </c>
      <c r="P360" s="66" t="b">
        <v>0</v>
      </c>
      <c r="Q360" s="67" t="b">
        <v>0</v>
      </c>
      <c r="R360" s="68" t="b">
        <v>0</v>
      </c>
      <c r="S360" s="8"/>
    </row>
    <row r="361" spans="1:24" ht="12.5">
      <c r="A361" s="4" t="s">
        <v>5</v>
      </c>
      <c r="B361" s="4"/>
      <c r="C361" s="4" t="s">
        <v>1209</v>
      </c>
      <c r="D361" s="4" t="s">
        <v>1210</v>
      </c>
      <c r="E361" s="4">
        <v>34656414406</v>
      </c>
      <c r="F361" s="4" t="s">
        <v>284</v>
      </c>
      <c r="G361" s="32">
        <v>45917</v>
      </c>
      <c r="H361" s="4" t="s">
        <v>856</v>
      </c>
      <c r="I361" s="4" t="s">
        <v>459</v>
      </c>
      <c r="J361" s="66" t="b">
        <v>0</v>
      </c>
      <c r="K361" s="67" t="b">
        <v>1</v>
      </c>
      <c r="L361" s="68" t="b">
        <v>0</v>
      </c>
      <c r="M361" s="66" t="b">
        <v>0</v>
      </c>
      <c r="N361" s="67" t="b">
        <v>0</v>
      </c>
      <c r="O361" s="68" t="b">
        <v>0</v>
      </c>
      <c r="P361" s="66" t="b">
        <v>0</v>
      </c>
      <c r="Q361" s="67" t="b">
        <v>0</v>
      </c>
      <c r="R361" s="68" t="b">
        <v>0</v>
      </c>
      <c r="S361" s="8"/>
    </row>
    <row r="362" spans="1:24" ht="12.5">
      <c r="A362" s="4" t="s">
        <v>5</v>
      </c>
      <c r="B362" s="4" t="s">
        <v>119</v>
      </c>
      <c r="C362" s="4" t="s">
        <v>84</v>
      </c>
      <c r="D362" s="4" t="s">
        <v>85</v>
      </c>
      <c r="E362" s="4">
        <v>34689363166</v>
      </c>
      <c r="F362" s="4" t="s">
        <v>27</v>
      </c>
      <c r="G362" s="32">
        <v>45917</v>
      </c>
      <c r="H362" s="4" t="s">
        <v>856</v>
      </c>
      <c r="I362" s="4" t="s">
        <v>448</v>
      </c>
      <c r="J362" s="66" t="b">
        <v>0</v>
      </c>
      <c r="K362" s="67" t="b">
        <v>1</v>
      </c>
      <c r="L362" s="68" t="b">
        <v>0</v>
      </c>
      <c r="M362" s="66" t="b">
        <v>0</v>
      </c>
      <c r="N362" s="67" t="b">
        <v>0</v>
      </c>
      <c r="O362" s="68" t="b">
        <v>0</v>
      </c>
      <c r="P362" s="66" t="b">
        <v>0</v>
      </c>
      <c r="Q362" s="67" t="b">
        <v>0</v>
      </c>
      <c r="R362" s="68" t="b">
        <v>0</v>
      </c>
      <c r="S362" s="8"/>
    </row>
    <row r="363" spans="1:24" ht="12.5">
      <c r="A363" s="4" t="s">
        <v>5</v>
      </c>
      <c r="B363" s="4"/>
      <c r="C363" s="4" t="s">
        <v>1211</v>
      </c>
      <c r="D363" s="4" t="s">
        <v>1212</v>
      </c>
      <c r="E363" s="4">
        <v>528119400414</v>
      </c>
      <c r="F363" s="4" t="s">
        <v>1213</v>
      </c>
      <c r="G363" s="32">
        <v>45918</v>
      </c>
      <c r="H363" s="4" t="s">
        <v>856</v>
      </c>
      <c r="I363" s="4" t="s">
        <v>459</v>
      </c>
      <c r="J363" s="66" t="b">
        <v>0</v>
      </c>
      <c r="K363" s="67" t="b">
        <v>1</v>
      </c>
      <c r="L363" s="68" t="b">
        <v>0</v>
      </c>
      <c r="M363" s="66" t="b">
        <v>0</v>
      </c>
      <c r="N363" s="67" t="b">
        <v>0</v>
      </c>
      <c r="O363" s="68" t="b">
        <v>0</v>
      </c>
      <c r="P363" s="66" t="b">
        <v>0</v>
      </c>
      <c r="Q363" s="67" t="b">
        <v>0</v>
      </c>
      <c r="R363" s="68" t="b">
        <v>0</v>
      </c>
      <c r="S363" s="8"/>
    </row>
    <row r="364" spans="1:24" ht="12.5">
      <c r="A364" s="4" t="s">
        <v>5</v>
      </c>
      <c r="B364" s="4"/>
      <c r="C364" s="4" t="s">
        <v>1211</v>
      </c>
      <c r="D364" s="4" t="s">
        <v>1212</v>
      </c>
      <c r="E364" s="4">
        <v>528119400414</v>
      </c>
      <c r="F364" s="4" t="s">
        <v>140</v>
      </c>
      <c r="G364" s="32">
        <v>45918</v>
      </c>
      <c r="H364" s="4" t="s">
        <v>856</v>
      </c>
      <c r="I364" s="4" t="s">
        <v>459</v>
      </c>
      <c r="J364" s="66" t="b">
        <v>0</v>
      </c>
      <c r="K364" s="67" t="b">
        <v>1</v>
      </c>
      <c r="L364" s="68" t="b">
        <v>0</v>
      </c>
      <c r="M364" s="66" t="b">
        <v>0</v>
      </c>
      <c r="N364" s="67" t="b">
        <v>0</v>
      </c>
      <c r="O364" s="68" t="b">
        <v>0</v>
      </c>
      <c r="P364" s="66" t="b">
        <v>0</v>
      </c>
      <c r="Q364" s="67" t="b">
        <v>0</v>
      </c>
      <c r="R364" s="68" t="b">
        <v>0</v>
      </c>
      <c r="S364" s="8"/>
    </row>
    <row r="365" spans="1:24" ht="12.5">
      <c r="A365" s="4" t="s">
        <v>5</v>
      </c>
      <c r="B365" s="4"/>
      <c r="C365" s="4" t="s">
        <v>1214</v>
      </c>
      <c r="D365" s="4" t="s">
        <v>1215</v>
      </c>
      <c r="E365" s="4">
        <v>584247194946</v>
      </c>
      <c r="F365" s="4" t="s">
        <v>27</v>
      </c>
      <c r="G365" s="32">
        <v>45918</v>
      </c>
      <c r="H365" s="4" t="s">
        <v>856</v>
      </c>
      <c r="I365" s="4" t="s">
        <v>459</v>
      </c>
      <c r="J365" s="66" t="b">
        <v>0</v>
      </c>
      <c r="K365" s="67" t="b">
        <v>1</v>
      </c>
      <c r="L365" s="68" t="b">
        <v>0</v>
      </c>
      <c r="M365" s="66" t="b">
        <v>0</v>
      </c>
      <c r="N365" s="67" t="b">
        <v>1</v>
      </c>
      <c r="O365" s="68" t="b">
        <v>0</v>
      </c>
      <c r="P365" s="66" t="b">
        <v>0</v>
      </c>
      <c r="Q365" s="67" t="b">
        <v>0</v>
      </c>
      <c r="R365" s="68" t="b">
        <v>0</v>
      </c>
      <c r="S365" s="8"/>
    </row>
    <row r="366" spans="1:24" ht="12.5">
      <c r="A366" s="4" t="s">
        <v>5</v>
      </c>
      <c r="B366" s="4"/>
      <c r="C366" s="4" t="s">
        <v>1216</v>
      </c>
      <c r="D366" s="4" t="s">
        <v>1217</v>
      </c>
      <c r="E366" s="4">
        <v>34671393799</v>
      </c>
      <c r="F366" s="4" t="s">
        <v>289</v>
      </c>
      <c r="G366" s="32">
        <v>45918</v>
      </c>
      <c r="H366" s="4" t="s">
        <v>856</v>
      </c>
      <c r="I366" s="4" t="s">
        <v>459</v>
      </c>
      <c r="J366" s="66" t="b">
        <v>0</v>
      </c>
      <c r="K366" s="67" t="b">
        <v>1</v>
      </c>
      <c r="L366" s="68" t="b">
        <v>0</v>
      </c>
      <c r="M366" s="66" t="b">
        <v>0</v>
      </c>
      <c r="N366" s="67" t="b">
        <v>0</v>
      </c>
      <c r="O366" s="68" t="b">
        <v>0</v>
      </c>
      <c r="P366" s="66" t="b">
        <v>0</v>
      </c>
      <c r="Q366" s="67" t="b">
        <v>0</v>
      </c>
      <c r="R366" s="68" t="b">
        <v>0</v>
      </c>
      <c r="S366" s="8"/>
    </row>
    <row r="367" spans="1:24" ht="12.5">
      <c r="A367" s="4" t="s">
        <v>5</v>
      </c>
      <c r="B367" s="4"/>
      <c r="C367" s="4" t="s">
        <v>79</v>
      </c>
      <c r="D367" s="4" t="s">
        <v>80</v>
      </c>
      <c r="E367" s="4">
        <v>50431568737</v>
      </c>
      <c r="F367" s="4" t="s">
        <v>11</v>
      </c>
      <c r="G367" s="32">
        <v>45918</v>
      </c>
      <c r="H367" s="4" t="s">
        <v>856</v>
      </c>
      <c r="I367" s="4" t="s">
        <v>448</v>
      </c>
      <c r="J367" s="66" t="b">
        <v>0</v>
      </c>
      <c r="K367" s="67" t="b">
        <v>1</v>
      </c>
      <c r="L367" s="68" t="b">
        <v>0</v>
      </c>
      <c r="M367" s="66" t="b">
        <v>0</v>
      </c>
      <c r="N367" s="67" t="b">
        <v>0</v>
      </c>
      <c r="O367" s="68" t="b">
        <v>0</v>
      </c>
      <c r="P367" s="66" t="b">
        <v>0</v>
      </c>
      <c r="Q367" s="67" t="b">
        <v>0</v>
      </c>
      <c r="R367" s="68" t="b">
        <v>0</v>
      </c>
      <c r="S367" s="4" t="s">
        <v>945</v>
      </c>
      <c r="T367" s="5">
        <v>45918</v>
      </c>
      <c r="U367" s="6">
        <v>189</v>
      </c>
      <c r="V367" s="7">
        <v>0.3</v>
      </c>
      <c r="W367" s="4">
        <v>1</v>
      </c>
      <c r="X367" s="8">
        <v>45658</v>
      </c>
    </row>
    <row r="368" spans="1:24" ht="12.5">
      <c r="A368" s="4" t="s">
        <v>5</v>
      </c>
      <c r="B368" s="4" t="s">
        <v>119</v>
      </c>
      <c r="C368" s="4" t="s">
        <v>1218</v>
      </c>
      <c r="E368" s="4">
        <v>34676665675</v>
      </c>
      <c r="F368" s="4" t="s">
        <v>27</v>
      </c>
      <c r="G368" s="32">
        <v>45918</v>
      </c>
      <c r="H368" s="4" t="s">
        <v>956</v>
      </c>
      <c r="I368" s="4" t="s">
        <v>448</v>
      </c>
      <c r="J368" s="66" t="b">
        <v>0</v>
      </c>
      <c r="K368" s="67" t="b">
        <v>1</v>
      </c>
      <c r="L368" s="68" t="b">
        <v>0</v>
      </c>
      <c r="M368" s="66" t="b">
        <v>0</v>
      </c>
      <c r="N368" s="67" t="b">
        <v>0</v>
      </c>
      <c r="O368" s="68" t="b">
        <v>0</v>
      </c>
      <c r="P368" s="66" t="b">
        <v>0</v>
      </c>
      <c r="Q368" s="67" t="b">
        <v>0</v>
      </c>
      <c r="R368" s="68" t="b">
        <v>0</v>
      </c>
      <c r="S368" s="4" t="s">
        <v>119</v>
      </c>
      <c r="T368" s="16">
        <v>45959</v>
      </c>
      <c r="U368" s="6">
        <v>175</v>
      </c>
      <c r="V368" s="7">
        <v>0.5</v>
      </c>
      <c r="W368" s="4">
        <v>1</v>
      </c>
      <c r="X368" s="8">
        <v>45658</v>
      </c>
    </row>
    <row r="369" spans="1:24" ht="12.5">
      <c r="A369" s="4" t="s">
        <v>5</v>
      </c>
      <c r="B369" s="4"/>
      <c r="C369" s="4" t="s">
        <v>1219</v>
      </c>
      <c r="D369" s="4"/>
      <c r="E369" s="4">
        <v>34616526142</v>
      </c>
      <c r="F369" s="4" t="s">
        <v>1220</v>
      </c>
      <c r="G369" s="32">
        <v>45918</v>
      </c>
      <c r="H369" s="4" t="s">
        <v>979</v>
      </c>
      <c r="I369" s="4" t="s">
        <v>459</v>
      </c>
      <c r="J369" s="66" t="b">
        <v>0</v>
      </c>
      <c r="K369" s="67" t="b">
        <v>1</v>
      </c>
      <c r="L369" s="68" t="b">
        <v>0</v>
      </c>
      <c r="M369" s="66" t="b">
        <v>0</v>
      </c>
      <c r="N369" s="67" t="b">
        <v>1</v>
      </c>
      <c r="O369" s="68" t="b">
        <v>0</v>
      </c>
      <c r="P369" s="66" t="b">
        <v>0</v>
      </c>
      <c r="Q369" s="67" t="b">
        <v>0</v>
      </c>
      <c r="R369" s="68" t="b">
        <v>0</v>
      </c>
      <c r="S369" s="8"/>
    </row>
    <row r="370" spans="1:24" ht="12.5">
      <c r="A370" s="4" t="s">
        <v>5</v>
      </c>
      <c r="B370" s="4"/>
      <c r="C370" s="4" t="s">
        <v>1221</v>
      </c>
      <c r="D370" s="4" t="s">
        <v>1222</v>
      </c>
      <c r="E370" s="4">
        <v>34616837568</v>
      </c>
      <c r="F370" s="4" t="s">
        <v>94</v>
      </c>
      <c r="G370" s="32">
        <v>45920</v>
      </c>
      <c r="H370" s="4" t="s">
        <v>856</v>
      </c>
      <c r="I370" s="4" t="s">
        <v>459</v>
      </c>
      <c r="J370" s="66" t="b">
        <v>0</v>
      </c>
      <c r="K370" s="67" t="b">
        <v>1</v>
      </c>
      <c r="L370" s="68" t="b">
        <v>0</v>
      </c>
      <c r="M370" s="66" t="b">
        <v>0</v>
      </c>
      <c r="N370" s="67" t="b">
        <v>0</v>
      </c>
      <c r="O370" s="68" t="b">
        <v>0</v>
      </c>
      <c r="P370" s="66" t="b">
        <v>0</v>
      </c>
      <c r="Q370" s="67" t="b">
        <v>0</v>
      </c>
      <c r="R370" s="68" t="b">
        <v>0</v>
      </c>
      <c r="S370" s="8"/>
    </row>
    <row r="371" spans="1:24" ht="14.5">
      <c r="A371" s="4" t="s">
        <v>5</v>
      </c>
      <c r="B371" s="53"/>
      <c r="C371" s="53" t="s">
        <v>86</v>
      </c>
      <c r="D371" s="4" t="s">
        <v>87</v>
      </c>
      <c r="E371" s="4">
        <v>34682471970</v>
      </c>
      <c r="F371" s="4" t="s">
        <v>70</v>
      </c>
      <c r="G371" s="32">
        <v>45920</v>
      </c>
      <c r="H371" s="4" t="s">
        <v>956</v>
      </c>
      <c r="I371" s="4" t="s">
        <v>448</v>
      </c>
      <c r="J371" s="66" t="b">
        <v>0</v>
      </c>
      <c r="K371" s="67" t="b">
        <v>1</v>
      </c>
      <c r="L371" s="68" t="b">
        <v>0</v>
      </c>
      <c r="M371" s="66" t="b">
        <v>0</v>
      </c>
      <c r="N371" s="67" t="b">
        <v>0</v>
      </c>
      <c r="O371" s="68" t="b">
        <v>0</v>
      </c>
      <c r="P371" s="66" t="b">
        <v>0</v>
      </c>
      <c r="Q371" s="67" t="b">
        <v>0</v>
      </c>
      <c r="R371" s="68" t="b">
        <v>0</v>
      </c>
      <c r="S371" s="4" t="s">
        <v>945</v>
      </c>
      <c r="T371" s="5">
        <v>45922</v>
      </c>
      <c r="U371" s="6">
        <v>250</v>
      </c>
      <c r="V371" s="4">
        <v>0</v>
      </c>
      <c r="W371" s="4">
        <v>1</v>
      </c>
      <c r="X371" s="8">
        <v>45658</v>
      </c>
    </row>
    <row r="372" spans="1:24" ht="12.5">
      <c r="A372" s="4" t="s">
        <v>5</v>
      </c>
      <c r="B372" s="4"/>
      <c r="C372" s="4" t="s">
        <v>1223</v>
      </c>
      <c r="D372" s="4"/>
      <c r="E372" s="4">
        <v>50685391818</v>
      </c>
      <c r="F372" s="4" t="s">
        <v>1224</v>
      </c>
      <c r="G372" s="32">
        <v>45920</v>
      </c>
      <c r="H372" s="4" t="s">
        <v>956</v>
      </c>
      <c r="I372" s="4" t="s">
        <v>459</v>
      </c>
      <c r="J372" s="66" t="b">
        <v>0</v>
      </c>
      <c r="K372" s="67" t="b">
        <v>1</v>
      </c>
      <c r="L372" s="68" t="b">
        <v>0</v>
      </c>
      <c r="M372" s="66" t="b">
        <v>0</v>
      </c>
      <c r="N372" s="67" t="b">
        <v>1</v>
      </c>
      <c r="O372" s="68" t="b">
        <v>0</v>
      </c>
      <c r="P372" s="66" t="b">
        <v>0</v>
      </c>
      <c r="Q372" s="67" t="b">
        <v>0</v>
      </c>
      <c r="R372" s="68" t="b">
        <v>0</v>
      </c>
      <c r="S372" s="8"/>
    </row>
    <row r="373" spans="1:24" ht="12.5">
      <c r="A373" s="4" t="s">
        <v>5</v>
      </c>
      <c r="B373" s="4"/>
      <c r="C373" s="4" t="s">
        <v>1225</v>
      </c>
      <c r="D373" s="4" t="s">
        <v>1226</v>
      </c>
      <c r="E373" s="4">
        <v>34626820502</v>
      </c>
      <c r="F373" s="4" t="s">
        <v>233</v>
      </c>
      <c r="G373" s="32">
        <v>45921</v>
      </c>
      <c r="H373" s="4" t="s">
        <v>856</v>
      </c>
      <c r="I373" s="4" t="s">
        <v>459</v>
      </c>
      <c r="J373" s="66" t="b">
        <v>0</v>
      </c>
      <c r="K373" s="67" t="b">
        <v>1</v>
      </c>
      <c r="L373" s="68" t="b">
        <v>0</v>
      </c>
      <c r="M373" s="66" t="b">
        <v>0</v>
      </c>
      <c r="N373" s="67" t="b">
        <v>1</v>
      </c>
      <c r="O373" s="68" t="b">
        <v>0</v>
      </c>
      <c r="P373" s="66" t="b">
        <v>0</v>
      </c>
      <c r="Q373" s="67" t="b">
        <v>0</v>
      </c>
      <c r="R373" s="68" t="b">
        <v>0</v>
      </c>
      <c r="S373" s="8"/>
    </row>
    <row r="374" spans="1:24" ht="12.5">
      <c r="A374" s="4" t="s">
        <v>5</v>
      </c>
      <c r="B374" s="4"/>
      <c r="C374" s="4" t="s">
        <v>1227</v>
      </c>
      <c r="D374" s="4" t="s">
        <v>1228</v>
      </c>
      <c r="E374" s="4">
        <v>543625312686</v>
      </c>
      <c r="F374" s="4" t="s">
        <v>70</v>
      </c>
      <c r="G374" s="32">
        <v>45921</v>
      </c>
      <c r="H374" s="4" t="s">
        <v>856</v>
      </c>
      <c r="I374" s="4" t="s">
        <v>459</v>
      </c>
      <c r="J374" s="66" t="b">
        <v>0</v>
      </c>
      <c r="K374" s="67" t="b">
        <v>1</v>
      </c>
      <c r="L374" s="68" t="b">
        <v>0</v>
      </c>
      <c r="M374" s="66" t="b">
        <v>0</v>
      </c>
      <c r="N374" s="67" t="b">
        <v>0</v>
      </c>
      <c r="O374" s="68" t="b">
        <v>0</v>
      </c>
      <c r="P374" s="66" t="b">
        <v>0</v>
      </c>
      <c r="Q374" s="67" t="b">
        <v>0</v>
      </c>
      <c r="R374" s="68" t="b">
        <v>0</v>
      </c>
      <c r="S374" s="8"/>
    </row>
    <row r="375" spans="1:24" ht="12.5">
      <c r="A375" s="4" t="s">
        <v>5</v>
      </c>
      <c r="B375" s="4"/>
      <c r="C375" s="4" t="s">
        <v>1229</v>
      </c>
      <c r="D375" s="4" t="s">
        <v>1230</v>
      </c>
      <c r="E375" s="4">
        <v>34675711678</v>
      </c>
      <c r="F375" s="4" t="s">
        <v>500</v>
      </c>
      <c r="G375" s="32">
        <v>45921</v>
      </c>
      <c r="H375" s="4" t="s">
        <v>856</v>
      </c>
      <c r="I375" s="4" t="s">
        <v>459</v>
      </c>
      <c r="J375" s="66" t="b">
        <v>0</v>
      </c>
      <c r="K375" s="67" t="b">
        <v>1</v>
      </c>
      <c r="L375" s="68" t="b">
        <v>0</v>
      </c>
      <c r="M375" s="66" t="b">
        <v>0</v>
      </c>
      <c r="N375" s="67" t="b">
        <v>1</v>
      </c>
      <c r="O375" s="68" t="b">
        <v>0</v>
      </c>
      <c r="P375" s="66" t="b">
        <v>0</v>
      </c>
      <c r="Q375" s="67" t="b">
        <v>0</v>
      </c>
      <c r="R375" s="68" t="b">
        <v>0</v>
      </c>
      <c r="S375" s="8"/>
    </row>
    <row r="376" spans="1:24" ht="12.5">
      <c r="A376" s="4" t="s">
        <v>5</v>
      </c>
      <c r="B376" s="4"/>
      <c r="C376" s="4" t="s">
        <v>120</v>
      </c>
      <c r="D376" s="4"/>
      <c r="E376" s="4">
        <v>573007253847</v>
      </c>
      <c r="F376" s="4" t="s">
        <v>27</v>
      </c>
      <c r="G376" s="32">
        <v>45921</v>
      </c>
      <c r="H376" s="4" t="s">
        <v>956</v>
      </c>
      <c r="I376" s="4" t="s">
        <v>448</v>
      </c>
      <c r="J376" s="66" t="b">
        <v>0</v>
      </c>
      <c r="K376" s="67" t="b">
        <v>1</v>
      </c>
      <c r="L376" s="68" t="b">
        <v>0</v>
      </c>
      <c r="M376" s="66" t="b">
        <v>0</v>
      </c>
      <c r="N376" s="67" t="b">
        <v>1</v>
      </c>
      <c r="O376" s="68" t="b">
        <v>0</v>
      </c>
      <c r="P376" s="66" t="b">
        <v>0</v>
      </c>
      <c r="Q376" s="67" t="b">
        <v>0</v>
      </c>
      <c r="R376" s="68" t="b">
        <v>0</v>
      </c>
      <c r="S376" s="4" t="s">
        <v>945</v>
      </c>
      <c r="T376" s="16">
        <v>45951</v>
      </c>
      <c r="U376" s="6">
        <v>175</v>
      </c>
      <c r="V376" s="14">
        <v>0.5</v>
      </c>
      <c r="W376" s="4">
        <v>1</v>
      </c>
      <c r="X376" s="8">
        <v>45658</v>
      </c>
    </row>
    <row r="377" spans="1:24" ht="12.5">
      <c r="A377" s="4" t="s">
        <v>5</v>
      </c>
      <c r="B377" s="4"/>
      <c r="C377" s="4" t="s">
        <v>1231</v>
      </c>
      <c r="D377" s="4" t="s">
        <v>1232</v>
      </c>
      <c r="E377" s="4">
        <v>34663450769</v>
      </c>
      <c r="F377" s="4" t="s">
        <v>1233</v>
      </c>
      <c r="G377" s="32">
        <v>45922</v>
      </c>
      <c r="H377" s="4" t="s">
        <v>856</v>
      </c>
      <c r="I377" s="4" t="s">
        <v>459</v>
      </c>
      <c r="J377" s="68" t="b">
        <v>1</v>
      </c>
      <c r="K377" s="67" t="b">
        <v>1</v>
      </c>
      <c r="L377" s="68" t="b">
        <v>0</v>
      </c>
      <c r="M377" s="66" t="b">
        <v>0</v>
      </c>
      <c r="N377" s="67" t="b">
        <v>0</v>
      </c>
      <c r="O377" s="68" t="b">
        <v>0</v>
      </c>
      <c r="P377" s="66" t="b">
        <v>0</v>
      </c>
      <c r="Q377" s="67" t="b">
        <v>0</v>
      </c>
      <c r="R377" s="68" t="b">
        <v>0</v>
      </c>
      <c r="S377" s="8"/>
    </row>
    <row r="378" spans="1:24" ht="12.5">
      <c r="A378" s="4" t="s">
        <v>5</v>
      </c>
      <c r="B378" s="4"/>
      <c r="C378" s="4" t="s">
        <v>1234</v>
      </c>
      <c r="D378" s="4"/>
      <c r="E378" s="4">
        <v>573165623092</v>
      </c>
      <c r="F378" s="4" t="s">
        <v>1235</v>
      </c>
      <c r="G378" s="32">
        <v>45922</v>
      </c>
      <c r="H378" s="4" t="s">
        <v>956</v>
      </c>
      <c r="I378" s="4" t="s">
        <v>459</v>
      </c>
      <c r="J378" s="66" t="b">
        <v>0</v>
      </c>
      <c r="K378" s="67" t="b">
        <v>1</v>
      </c>
      <c r="L378" s="68" t="b">
        <v>0</v>
      </c>
      <c r="M378" s="66" t="b">
        <v>0</v>
      </c>
      <c r="N378" s="67" t="b">
        <v>1</v>
      </c>
      <c r="O378" s="68" t="b">
        <v>0</v>
      </c>
      <c r="P378" s="66" t="b">
        <v>0</v>
      </c>
      <c r="Q378" s="67" t="b">
        <v>0</v>
      </c>
      <c r="R378" s="68" t="b">
        <v>0</v>
      </c>
      <c r="S378" s="8"/>
    </row>
    <row r="379" spans="1:24" ht="12.5">
      <c r="A379" s="4" t="s">
        <v>5</v>
      </c>
      <c r="B379" s="4"/>
      <c r="C379" s="4" t="s">
        <v>1236</v>
      </c>
      <c r="D379" s="4"/>
      <c r="E379" s="4">
        <v>51958037362</v>
      </c>
      <c r="F379" s="4" t="s">
        <v>988</v>
      </c>
      <c r="G379" s="32">
        <v>45922</v>
      </c>
      <c r="H379" s="4" t="s">
        <v>956</v>
      </c>
      <c r="I379" s="4" t="s">
        <v>459</v>
      </c>
      <c r="J379" s="66" t="b">
        <v>0</v>
      </c>
      <c r="K379" s="67" t="b">
        <v>1</v>
      </c>
      <c r="L379" s="68" t="b">
        <v>0</v>
      </c>
      <c r="M379" s="66" t="b">
        <v>0</v>
      </c>
      <c r="N379" s="67" t="b">
        <v>1</v>
      </c>
      <c r="O379" s="68" t="b">
        <v>0</v>
      </c>
      <c r="P379" s="66" t="b">
        <v>0</v>
      </c>
      <c r="Q379" s="67" t="b">
        <v>0</v>
      </c>
      <c r="R379" s="68" t="b">
        <v>0</v>
      </c>
      <c r="S379" s="8"/>
    </row>
    <row r="380" spans="1:24" ht="12.5">
      <c r="A380" s="4" t="s">
        <v>5</v>
      </c>
      <c r="B380" s="4"/>
      <c r="C380" s="4" t="s">
        <v>1237</v>
      </c>
      <c r="D380" s="4" t="s">
        <v>1238</v>
      </c>
      <c r="E380" s="4">
        <v>34699738444</v>
      </c>
      <c r="F380" s="4" t="s">
        <v>332</v>
      </c>
      <c r="G380" s="32">
        <v>45923</v>
      </c>
      <c r="H380" s="4" t="s">
        <v>856</v>
      </c>
      <c r="I380" s="4" t="s">
        <v>459</v>
      </c>
      <c r="J380" s="66" t="b">
        <v>0</v>
      </c>
      <c r="K380" s="67" t="b">
        <v>1</v>
      </c>
      <c r="L380" s="68" t="b">
        <v>0</v>
      </c>
      <c r="M380" s="66" t="b">
        <v>0</v>
      </c>
      <c r="N380" s="67" t="b">
        <v>0</v>
      </c>
      <c r="O380" s="68" t="b">
        <v>0</v>
      </c>
      <c r="P380" s="66" t="b">
        <v>0</v>
      </c>
      <c r="Q380" s="67" t="b">
        <v>0</v>
      </c>
      <c r="R380" s="68" t="b">
        <v>0</v>
      </c>
      <c r="S380" s="8"/>
    </row>
    <row r="381" spans="1:24" ht="12.5">
      <c r="A381" s="4" t="s">
        <v>5</v>
      </c>
      <c r="B381" s="4"/>
      <c r="C381" s="4" t="s">
        <v>1239</v>
      </c>
      <c r="D381" s="4" t="s">
        <v>1240</v>
      </c>
      <c r="E381" s="4">
        <v>34661406960</v>
      </c>
      <c r="F381" s="4" t="s">
        <v>792</v>
      </c>
      <c r="G381" s="32">
        <v>45923</v>
      </c>
      <c r="H381" s="4" t="s">
        <v>856</v>
      </c>
      <c r="I381" s="4" t="s">
        <v>459</v>
      </c>
      <c r="J381" s="68" t="b">
        <v>1</v>
      </c>
      <c r="K381" s="67" t="b">
        <v>0</v>
      </c>
      <c r="L381" s="68" t="b">
        <v>1</v>
      </c>
      <c r="M381" s="66" t="b">
        <v>0</v>
      </c>
      <c r="N381" s="67" t="b">
        <v>0</v>
      </c>
      <c r="O381" s="68" t="b">
        <v>0</v>
      </c>
      <c r="P381" s="66" t="b">
        <v>0</v>
      </c>
      <c r="Q381" s="67" t="b">
        <v>0</v>
      </c>
      <c r="R381" s="68" t="b">
        <v>0</v>
      </c>
      <c r="S381" s="8"/>
    </row>
    <row r="382" spans="1:24" ht="12.5">
      <c r="A382" s="4" t="s">
        <v>5</v>
      </c>
      <c r="B382" s="4"/>
      <c r="C382" s="4" t="s">
        <v>1241</v>
      </c>
      <c r="D382" s="4" t="s">
        <v>1242</v>
      </c>
      <c r="E382" s="4">
        <v>51986921902</v>
      </c>
      <c r="F382" s="4" t="s">
        <v>11</v>
      </c>
      <c r="G382" s="32">
        <v>45923</v>
      </c>
      <c r="H382" s="4" t="s">
        <v>856</v>
      </c>
      <c r="I382" s="4" t="s">
        <v>459</v>
      </c>
      <c r="J382" s="68" t="b">
        <v>0</v>
      </c>
      <c r="K382" s="67" t="b">
        <v>1</v>
      </c>
      <c r="L382" s="68" t="b">
        <v>0</v>
      </c>
      <c r="M382" s="66" t="b">
        <v>0</v>
      </c>
      <c r="N382" s="67" t="b">
        <v>1</v>
      </c>
      <c r="O382" s="68" t="b">
        <v>0</v>
      </c>
      <c r="P382" s="66" t="b">
        <v>0</v>
      </c>
      <c r="Q382" s="67" t="b">
        <v>0</v>
      </c>
      <c r="R382" s="68" t="b">
        <v>0</v>
      </c>
      <c r="S382" s="8"/>
    </row>
    <row r="383" spans="1:24" ht="12.5">
      <c r="A383" s="4" t="s">
        <v>381</v>
      </c>
      <c r="B383" s="4"/>
      <c r="C383" s="4" t="s">
        <v>1243</v>
      </c>
      <c r="D383" s="4" t="s">
        <v>1244</v>
      </c>
      <c r="E383" s="4">
        <v>527291058247</v>
      </c>
      <c r="F383" s="4" t="s">
        <v>1245</v>
      </c>
      <c r="G383" s="32">
        <v>45924</v>
      </c>
      <c r="H383" s="4" t="s">
        <v>856</v>
      </c>
      <c r="I383" s="4" t="s">
        <v>459</v>
      </c>
      <c r="J383" s="68" t="b">
        <v>0</v>
      </c>
      <c r="K383" s="67" t="b">
        <v>1</v>
      </c>
      <c r="L383" s="68" t="b">
        <v>0</v>
      </c>
      <c r="M383" s="66" t="b">
        <v>0</v>
      </c>
      <c r="N383" s="67" t="b">
        <v>0</v>
      </c>
      <c r="O383" s="68" t="b">
        <v>0</v>
      </c>
      <c r="P383" s="66" t="b">
        <v>0</v>
      </c>
      <c r="Q383" s="67" t="b">
        <v>0</v>
      </c>
      <c r="R383" s="68" t="b">
        <v>0</v>
      </c>
      <c r="S383" s="8"/>
    </row>
    <row r="384" spans="1:24" ht="12.5">
      <c r="A384" s="4" t="s">
        <v>5</v>
      </c>
      <c r="B384" s="4"/>
      <c r="C384" s="4" t="s">
        <v>1246</v>
      </c>
      <c r="D384" s="4"/>
      <c r="E384" s="4">
        <v>5215512683714</v>
      </c>
      <c r="F384" s="4" t="s">
        <v>88</v>
      </c>
      <c r="G384" s="32">
        <v>45924</v>
      </c>
      <c r="H384" s="4" t="s">
        <v>956</v>
      </c>
      <c r="I384" s="4" t="s">
        <v>448</v>
      </c>
      <c r="J384" s="68" t="b">
        <v>0</v>
      </c>
      <c r="K384" s="67" t="b">
        <v>1</v>
      </c>
      <c r="L384" s="68" t="b">
        <v>0</v>
      </c>
      <c r="M384" s="66" t="b">
        <v>0</v>
      </c>
      <c r="N384" s="67" t="b">
        <v>0</v>
      </c>
      <c r="O384" s="68" t="b">
        <v>0</v>
      </c>
      <c r="P384" s="66" t="b">
        <v>0</v>
      </c>
      <c r="Q384" s="67" t="b">
        <v>0</v>
      </c>
      <c r="R384" s="68" t="b">
        <v>0</v>
      </c>
      <c r="S384" s="4" t="s">
        <v>945</v>
      </c>
      <c r="T384" s="5">
        <v>45925</v>
      </c>
      <c r="U384" s="6">
        <v>180</v>
      </c>
      <c r="V384" s="4">
        <v>0</v>
      </c>
      <c r="W384" s="4">
        <v>1</v>
      </c>
      <c r="X384" s="8">
        <v>45658</v>
      </c>
    </row>
    <row r="385" spans="1:19" ht="12.5">
      <c r="A385" s="4" t="s">
        <v>5</v>
      </c>
      <c r="B385" s="4"/>
      <c r="C385" s="4" t="s">
        <v>1247</v>
      </c>
      <c r="D385" s="4" t="s">
        <v>1248</v>
      </c>
      <c r="E385" s="4">
        <v>34609452838</v>
      </c>
      <c r="F385" s="4" t="s">
        <v>40</v>
      </c>
      <c r="G385" s="32">
        <v>45925</v>
      </c>
      <c r="H385" s="4" t="s">
        <v>856</v>
      </c>
      <c r="I385" s="4" t="s">
        <v>459</v>
      </c>
      <c r="J385" s="68" t="b">
        <v>1</v>
      </c>
      <c r="K385" s="67" t="b">
        <v>1</v>
      </c>
      <c r="L385" s="68"/>
      <c r="M385" s="66" t="b">
        <v>0</v>
      </c>
      <c r="N385" s="67" t="b">
        <v>0</v>
      </c>
      <c r="O385" s="68" t="b">
        <v>0</v>
      </c>
      <c r="P385" s="66" t="b">
        <v>0</v>
      </c>
      <c r="Q385" s="67" t="b">
        <v>0</v>
      </c>
      <c r="R385" s="68" t="b">
        <v>0</v>
      </c>
      <c r="S385" s="8"/>
    </row>
    <row r="386" spans="1:19" ht="12.5">
      <c r="A386" s="4" t="s">
        <v>5</v>
      </c>
      <c r="B386" s="4"/>
      <c r="C386" s="4" t="s">
        <v>1249</v>
      </c>
      <c r="D386" s="4" t="s">
        <v>1250</v>
      </c>
      <c r="E386" s="4">
        <v>34676369322</v>
      </c>
      <c r="F386" s="4" t="s">
        <v>864</v>
      </c>
      <c r="G386" s="32">
        <v>45925</v>
      </c>
      <c r="H386" s="4" t="s">
        <v>856</v>
      </c>
      <c r="I386" s="4" t="s">
        <v>459</v>
      </c>
      <c r="J386" s="68" t="b">
        <v>0</v>
      </c>
      <c r="K386" s="67" t="b">
        <v>1</v>
      </c>
      <c r="L386" s="68" t="b">
        <v>0</v>
      </c>
      <c r="M386" s="66" t="b">
        <v>0</v>
      </c>
      <c r="N386" s="67" t="b">
        <v>0</v>
      </c>
      <c r="O386" s="68" t="b">
        <v>0</v>
      </c>
      <c r="P386" s="66" t="b">
        <v>0</v>
      </c>
      <c r="Q386" s="67" t="b">
        <v>0</v>
      </c>
      <c r="R386" s="68" t="b">
        <v>0</v>
      </c>
      <c r="S386" s="8"/>
    </row>
    <row r="387" spans="1:19" ht="12.5">
      <c r="A387" s="4" t="s">
        <v>5</v>
      </c>
      <c r="B387" s="4" t="s">
        <v>119</v>
      </c>
      <c r="C387" s="4" t="s">
        <v>1251</v>
      </c>
      <c r="D387" s="4" t="s">
        <v>1252</v>
      </c>
      <c r="E387" s="4">
        <v>34635953746</v>
      </c>
      <c r="F387" s="4" t="s">
        <v>27</v>
      </c>
      <c r="G387" s="32">
        <v>45925</v>
      </c>
      <c r="H387" s="4" t="s">
        <v>856</v>
      </c>
      <c r="I387" s="4" t="s">
        <v>459</v>
      </c>
      <c r="J387" s="68" t="b">
        <v>0</v>
      </c>
      <c r="K387" s="67" t="b">
        <v>1</v>
      </c>
      <c r="L387" s="68" t="b">
        <v>0</v>
      </c>
      <c r="M387" s="66" t="b">
        <v>0</v>
      </c>
      <c r="N387" s="67" t="b">
        <v>1</v>
      </c>
      <c r="O387" s="68" t="b">
        <v>0</v>
      </c>
      <c r="P387" s="66" t="b">
        <v>0</v>
      </c>
      <c r="Q387" s="67" t="b">
        <v>0</v>
      </c>
      <c r="R387" s="68" t="b">
        <v>0</v>
      </c>
      <c r="S387" s="8"/>
    </row>
    <row r="388" spans="1:19" ht="12.5">
      <c r="A388" s="4" t="s">
        <v>5</v>
      </c>
      <c r="B388" s="4"/>
      <c r="C388" s="4" t="s">
        <v>1253</v>
      </c>
      <c r="D388" s="4" t="s">
        <v>1254</v>
      </c>
      <c r="E388" s="4">
        <v>51904741899</v>
      </c>
      <c r="F388" s="4" t="s">
        <v>1255</v>
      </c>
      <c r="G388" s="32">
        <v>45925</v>
      </c>
      <c r="H388" s="4" t="s">
        <v>856</v>
      </c>
      <c r="I388" s="4" t="s">
        <v>459</v>
      </c>
      <c r="J388" s="68" t="b">
        <v>0</v>
      </c>
      <c r="K388" s="67" t="b">
        <v>1</v>
      </c>
      <c r="L388" s="68" t="b">
        <v>0</v>
      </c>
      <c r="M388" s="66" t="b">
        <v>0</v>
      </c>
      <c r="N388" s="67" t="b">
        <v>0</v>
      </c>
      <c r="O388" s="68" t="b">
        <v>0</v>
      </c>
      <c r="P388" s="66" t="b">
        <v>0</v>
      </c>
      <c r="Q388" s="67" t="b">
        <v>0</v>
      </c>
      <c r="R388" s="68" t="b">
        <v>0</v>
      </c>
      <c r="S388" s="8"/>
    </row>
    <row r="389" spans="1:19" ht="12.5">
      <c r="A389" s="4" t="s">
        <v>5</v>
      </c>
      <c r="B389" s="4"/>
      <c r="C389" s="4" t="s">
        <v>1256</v>
      </c>
      <c r="D389" s="4"/>
      <c r="E389" s="4">
        <v>34620273106</v>
      </c>
      <c r="F389" s="4" t="s">
        <v>1257</v>
      </c>
      <c r="G389" s="32">
        <v>45925</v>
      </c>
      <c r="H389" s="4" t="s">
        <v>956</v>
      </c>
      <c r="I389" s="4" t="s">
        <v>886</v>
      </c>
      <c r="J389" s="68" t="b">
        <v>0</v>
      </c>
      <c r="K389" s="67" t="b">
        <v>1</v>
      </c>
      <c r="L389" s="68" t="b">
        <v>0</v>
      </c>
      <c r="M389" s="66" t="b">
        <v>0</v>
      </c>
      <c r="N389" s="67" t="b">
        <v>0</v>
      </c>
      <c r="O389" s="68" t="b">
        <v>0</v>
      </c>
      <c r="P389" s="66" t="b">
        <v>0</v>
      </c>
      <c r="Q389" s="67" t="b">
        <v>0</v>
      </c>
      <c r="R389" s="68" t="b">
        <v>0</v>
      </c>
      <c r="S389" s="8"/>
    </row>
    <row r="390" spans="1:19" ht="12.5">
      <c r="A390" s="4" t="s">
        <v>5</v>
      </c>
      <c r="B390" s="4"/>
      <c r="C390" s="4" t="s">
        <v>1258</v>
      </c>
      <c r="D390" s="4"/>
      <c r="E390" s="4">
        <v>573193140177</v>
      </c>
      <c r="F390" s="4" t="s">
        <v>1259</v>
      </c>
      <c r="G390" s="32">
        <v>45925</v>
      </c>
      <c r="H390" s="4" t="s">
        <v>956</v>
      </c>
      <c r="I390" s="4" t="s">
        <v>459</v>
      </c>
      <c r="J390" s="68" t="b">
        <v>0</v>
      </c>
      <c r="K390" s="67" t="b">
        <v>1</v>
      </c>
      <c r="L390" s="68" t="b">
        <v>0</v>
      </c>
      <c r="M390" s="66" t="b">
        <v>0</v>
      </c>
      <c r="N390" s="67" t="b">
        <v>0</v>
      </c>
      <c r="O390" s="68" t="b">
        <v>0</v>
      </c>
      <c r="P390" s="66" t="b">
        <v>0</v>
      </c>
      <c r="Q390" s="67" t="b">
        <v>0</v>
      </c>
      <c r="R390" s="68" t="b">
        <v>0</v>
      </c>
      <c r="S390" s="8"/>
    </row>
    <row r="391" spans="1:19" ht="12.5">
      <c r="A391" s="4" t="s">
        <v>5</v>
      </c>
      <c r="B391" s="4"/>
      <c r="C391" s="4" t="s">
        <v>1260</v>
      </c>
      <c r="D391" s="4" t="s">
        <v>1261</v>
      </c>
      <c r="E391" s="4">
        <v>16155251405</v>
      </c>
      <c r="F391" s="4" t="s">
        <v>140</v>
      </c>
      <c r="G391" s="32">
        <v>45926</v>
      </c>
      <c r="H391" s="4" t="s">
        <v>856</v>
      </c>
      <c r="I391" s="4" t="s">
        <v>459</v>
      </c>
      <c r="J391" s="68" t="b">
        <v>0</v>
      </c>
      <c r="K391" s="67" t="b">
        <v>1</v>
      </c>
      <c r="L391" s="68" t="b">
        <v>0</v>
      </c>
      <c r="M391" s="66" t="b">
        <v>0</v>
      </c>
      <c r="N391" s="67" t="b">
        <v>0</v>
      </c>
      <c r="O391" s="68" t="b">
        <v>0</v>
      </c>
      <c r="P391" s="66" t="b">
        <v>0</v>
      </c>
      <c r="Q391" s="67" t="b">
        <v>0</v>
      </c>
      <c r="R391" s="68" t="b">
        <v>0</v>
      </c>
      <c r="S391" s="8"/>
    </row>
    <row r="392" spans="1:19" ht="12.5">
      <c r="A392" s="4" t="s">
        <v>5</v>
      </c>
      <c r="B392" s="4"/>
      <c r="C392" s="4" t="s">
        <v>1262</v>
      </c>
      <c r="D392" s="4" t="s">
        <v>1263</v>
      </c>
      <c r="E392" s="4">
        <v>51977189441</v>
      </c>
      <c r="F392" s="4" t="s">
        <v>528</v>
      </c>
      <c r="G392" s="32">
        <v>45926</v>
      </c>
      <c r="H392" s="4" t="s">
        <v>856</v>
      </c>
      <c r="I392" s="4" t="s">
        <v>459</v>
      </c>
      <c r="J392" s="68" t="b">
        <v>0</v>
      </c>
      <c r="K392" s="67" t="b">
        <v>1</v>
      </c>
      <c r="L392" s="68" t="b">
        <v>0</v>
      </c>
      <c r="M392" s="66" t="b">
        <v>0</v>
      </c>
      <c r="N392" s="67" t="b">
        <v>0</v>
      </c>
      <c r="O392" s="68" t="b">
        <v>0</v>
      </c>
      <c r="P392" s="66" t="b">
        <v>0</v>
      </c>
      <c r="Q392" s="67" t="b">
        <v>0</v>
      </c>
      <c r="R392" s="68" t="b">
        <v>0</v>
      </c>
      <c r="S392" s="8"/>
    </row>
    <row r="393" spans="1:19" ht="12.5">
      <c r="A393" s="4" t="s">
        <v>5</v>
      </c>
      <c r="B393" s="4"/>
      <c r="C393" s="4" t="s">
        <v>1264</v>
      </c>
      <c r="D393" s="4"/>
      <c r="E393" s="4">
        <v>51955913935</v>
      </c>
      <c r="F393" s="4" t="s">
        <v>1265</v>
      </c>
      <c r="G393" s="32">
        <v>45926</v>
      </c>
      <c r="H393" s="4" t="s">
        <v>956</v>
      </c>
      <c r="I393" s="4" t="s">
        <v>459</v>
      </c>
      <c r="J393" s="68" t="b">
        <v>0</v>
      </c>
      <c r="K393" s="67" t="b">
        <v>1</v>
      </c>
      <c r="L393" s="68" t="b">
        <v>0</v>
      </c>
      <c r="M393" s="66" t="b">
        <v>0</v>
      </c>
      <c r="N393" s="67" t="b">
        <v>0</v>
      </c>
      <c r="O393" s="68" t="b">
        <v>0</v>
      </c>
      <c r="P393" s="66" t="b">
        <v>0</v>
      </c>
      <c r="Q393" s="67" t="b">
        <v>0</v>
      </c>
      <c r="R393" s="68" t="b">
        <v>0</v>
      </c>
      <c r="S393" s="8"/>
    </row>
    <row r="394" spans="1:19" ht="12.5">
      <c r="A394" s="4" t="s">
        <v>5</v>
      </c>
      <c r="B394" s="4"/>
      <c r="C394" s="4" t="s">
        <v>1266</v>
      </c>
      <c r="D394" s="4"/>
      <c r="E394" s="4">
        <v>50683621394</v>
      </c>
      <c r="F394" s="4" t="s">
        <v>1267</v>
      </c>
      <c r="G394" s="32">
        <v>45926</v>
      </c>
      <c r="H394" s="4" t="s">
        <v>956</v>
      </c>
      <c r="I394" s="4" t="s">
        <v>459</v>
      </c>
      <c r="J394" s="68" t="b">
        <v>0</v>
      </c>
      <c r="K394" s="67" t="b">
        <v>1</v>
      </c>
      <c r="L394" s="68" t="b">
        <v>0</v>
      </c>
      <c r="M394" s="66" t="b">
        <v>0</v>
      </c>
      <c r="N394" s="67" t="b">
        <v>0</v>
      </c>
      <c r="O394" s="68" t="b">
        <v>0</v>
      </c>
      <c r="P394" s="66" t="b">
        <v>0</v>
      </c>
      <c r="Q394" s="67" t="b">
        <v>0</v>
      </c>
      <c r="R394" s="68" t="b">
        <v>0</v>
      </c>
      <c r="S394" s="8"/>
    </row>
    <row r="395" spans="1:19" ht="12.5">
      <c r="A395" s="4" t="s">
        <v>5</v>
      </c>
      <c r="B395" s="4"/>
      <c r="C395" s="4" t="s">
        <v>1268</v>
      </c>
      <c r="D395" s="4" t="s">
        <v>1269</v>
      </c>
      <c r="E395" s="4">
        <v>56953120875</v>
      </c>
      <c r="F395" s="4" t="s">
        <v>1233</v>
      </c>
      <c r="G395" s="32">
        <v>45927</v>
      </c>
      <c r="H395" s="4" t="s">
        <v>856</v>
      </c>
      <c r="I395" s="4" t="s">
        <v>459</v>
      </c>
      <c r="J395" s="68" t="b">
        <v>0</v>
      </c>
      <c r="K395" s="67" t="b">
        <v>1</v>
      </c>
      <c r="L395" s="68" t="b">
        <v>0</v>
      </c>
      <c r="M395" s="66" t="b">
        <v>0</v>
      </c>
      <c r="N395" s="67" t="b">
        <v>0</v>
      </c>
      <c r="O395" s="68" t="b">
        <v>0</v>
      </c>
      <c r="P395" s="66" t="b">
        <v>0</v>
      </c>
      <c r="Q395" s="67" t="b">
        <v>0</v>
      </c>
      <c r="R395" s="68" t="b">
        <v>0</v>
      </c>
      <c r="S395" s="8"/>
    </row>
    <row r="396" spans="1:19" ht="12.5">
      <c r="A396" s="4" t="s">
        <v>5</v>
      </c>
      <c r="B396" s="4"/>
      <c r="C396" s="4" t="s">
        <v>1270</v>
      </c>
      <c r="D396" s="4" t="s">
        <v>1271</v>
      </c>
      <c r="E396" s="4">
        <v>529871411086</v>
      </c>
      <c r="F396" s="4" t="s">
        <v>312</v>
      </c>
      <c r="G396" s="32">
        <v>45927</v>
      </c>
      <c r="H396" s="4" t="s">
        <v>856</v>
      </c>
      <c r="I396" s="4" t="s">
        <v>459</v>
      </c>
      <c r="J396" s="68" t="b">
        <v>0</v>
      </c>
      <c r="K396" s="67" t="b">
        <v>1</v>
      </c>
      <c r="L396" s="68" t="b">
        <v>0</v>
      </c>
      <c r="M396" s="66" t="b">
        <v>0</v>
      </c>
      <c r="N396" s="67" t="b">
        <v>0</v>
      </c>
      <c r="O396" s="68" t="b">
        <v>0</v>
      </c>
      <c r="P396" s="66" t="b">
        <v>0</v>
      </c>
      <c r="Q396" s="67" t="b">
        <v>0</v>
      </c>
      <c r="R396" s="68" t="b">
        <v>0</v>
      </c>
      <c r="S396" s="8"/>
    </row>
    <row r="397" spans="1:19" ht="12.5">
      <c r="A397" s="4" t="s">
        <v>5</v>
      </c>
      <c r="B397" s="4"/>
      <c r="C397" s="4" t="s">
        <v>1272</v>
      </c>
      <c r="D397" s="4"/>
      <c r="E397" s="4">
        <v>50762243222</v>
      </c>
      <c r="F397" s="4" t="s">
        <v>1273</v>
      </c>
      <c r="G397" s="32">
        <v>45927</v>
      </c>
      <c r="H397" s="4" t="s">
        <v>956</v>
      </c>
      <c r="I397" s="4" t="s">
        <v>459</v>
      </c>
      <c r="J397" s="68" t="b">
        <v>0</v>
      </c>
      <c r="K397" s="67" t="b">
        <v>1</v>
      </c>
      <c r="L397" s="68" t="b">
        <v>0</v>
      </c>
      <c r="M397" s="66" t="b">
        <v>0</v>
      </c>
      <c r="N397" s="67" t="b">
        <v>0</v>
      </c>
      <c r="O397" s="68" t="b">
        <v>0</v>
      </c>
      <c r="P397" s="66" t="b">
        <v>0</v>
      </c>
      <c r="Q397" s="67" t="b">
        <v>0</v>
      </c>
      <c r="R397" s="68" t="b">
        <v>0</v>
      </c>
      <c r="S397" s="8"/>
    </row>
    <row r="398" spans="1:19" ht="12.5">
      <c r="A398" s="4" t="s">
        <v>5</v>
      </c>
      <c r="B398" s="4"/>
      <c r="C398" s="4" t="s">
        <v>1274</v>
      </c>
      <c r="D398" s="4"/>
      <c r="E398" s="4">
        <v>547534864</v>
      </c>
      <c r="F398" s="4" t="s">
        <v>1152</v>
      </c>
      <c r="G398" s="32">
        <v>45927</v>
      </c>
      <c r="H398" s="4" t="s">
        <v>956</v>
      </c>
      <c r="I398" s="4" t="s">
        <v>459</v>
      </c>
      <c r="J398" s="68" t="b">
        <v>0</v>
      </c>
      <c r="K398" s="67" t="b">
        <v>1</v>
      </c>
      <c r="L398" s="68" t="b">
        <v>0</v>
      </c>
      <c r="M398" s="66" t="b">
        <v>0</v>
      </c>
      <c r="N398" s="67" t="b">
        <v>0</v>
      </c>
      <c r="O398" s="68" t="b">
        <v>0</v>
      </c>
      <c r="P398" s="66" t="b">
        <v>0</v>
      </c>
      <c r="Q398" s="67" t="b">
        <v>0</v>
      </c>
      <c r="R398" s="68" t="b">
        <v>0</v>
      </c>
      <c r="S398" s="8"/>
    </row>
    <row r="399" spans="1:19" ht="12.5">
      <c r="A399" s="4" t="s">
        <v>5</v>
      </c>
      <c r="B399" s="4"/>
      <c r="C399" s="4" t="s">
        <v>1275</v>
      </c>
      <c r="D399" s="4" t="s">
        <v>1276</v>
      </c>
      <c r="E399" s="4">
        <v>34672397583</v>
      </c>
      <c r="F399" s="4" t="s">
        <v>1277</v>
      </c>
      <c r="G399" s="32">
        <v>45928</v>
      </c>
      <c r="H399" s="4" t="s">
        <v>856</v>
      </c>
      <c r="I399" s="4" t="s">
        <v>459</v>
      </c>
      <c r="J399" s="68" t="b">
        <v>0</v>
      </c>
      <c r="K399" s="67" t="b">
        <v>1</v>
      </c>
      <c r="L399" s="68" t="b">
        <v>0</v>
      </c>
      <c r="M399" s="66" t="b">
        <v>0</v>
      </c>
      <c r="N399" s="67" t="b">
        <v>0</v>
      </c>
      <c r="O399" s="68" t="b">
        <v>0</v>
      </c>
      <c r="P399" s="66" t="b">
        <v>0</v>
      </c>
      <c r="Q399" s="67" t="b">
        <v>0</v>
      </c>
      <c r="R399" s="68" t="b">
        <v>0</v>
      </c>
      <c r="S399" s="8"/>
    </row>
    <row r="400" spans="1:19" ht="12.5">
      <c r="A400" s="4" t="s">
        <v>5</v>
      </c>
      <c r="B400" s="4"/>
      <c r="C400" s="4" t="s">
        <v>1278</v>
      </c>
      <c r="D400" s="4"/>
      <c r="E400" s="4">
        <v>51917365844</v>
      </c>
      <c r="F400" s="4" t="s">
        <v>1279</v>
      </c>
      <c r="G400" s="32">
        <v>45928</v>
      </c>
      <c r="H400" s="4" t="s">
        <v>956</v>
      </c>
      <c r="I400" s="4" t="s">
        <v>459</v>
      </c>
      <c r="J400" s="68" t="b">
        <v>0</v>
      </c>
      <c r="K400" s="67" t="b">
        <v>1</v>
      </c>
      <c r="L400" s="68" t="b">
        <v>0</v>
      </c>
      <c r="M400" s="66" t="b">
        <v>0</v>
      </c>
      <c r="N400" s="67" t="b">
        <v>1</v>
      </c>
      <c r="O400" s="68" t="b">
        <v>0</v>
      </c>
      <c r="P400" s="66" t="b">
        <v>0</v>
      </c>
      <c r="Q400" s="67" t="b">
        <v>0</v>
      </c>
      <c r="R400" s="68" t="b">
        <v>0</v>
      </c>
      <c r="S400" s="8"/>
    </row>
    <row r="401" spans="1:24" ht="12.5">
      <c r="A401" s="4" t="s">
        <v>5</v>
      </c>
      <c r="B401" s="4"/>
      <c r="C401" s="4" t="s">
        <v>1280</v>
      </c>
      <c r="D401" s="4" t="s">
        <v>1281</v>
      </c>
      <c r="E401" s="4">
        <v>34627011820</v>
      </c>
      <c r="F401" s="4" t="s">
        <v>1282</v>
      </c>
      <c r="G401" s="32">
        <v>45929</v>
      </c>
      <c r="H401" s="4" t="s">
        <v>856</v>
      </c>
      <c r="I401" s="4" t="s">
        <v>459</v>
      </c>
      <c r="J401" s="68" t="b">
        <v>0</v>
      </c>
      <c r="K401" s="67" t="b">
        <v>1</v>
      </c>
      <c r="L401" s="68" t="b">
        <v>0</v>
      </c>
      <c r="M401" s="66" t="b">
        <v>0</v>
      </c>
      <c r="N401" s="67" t="b">
        <v>0</v>
      </c>
      <c r="O401" s="68" t="b">
        <v>0</v>
      </c>
      <c r="P401" s="66" t="b">
        <v>0</v>
      </c>
      <c r="Q401" s="67" t="b">
        <v>0</v>
      </c>
      <c r="R401" s="68" t="b">
        <v>0</v>
      </c>
      <c r="S401" s="8"/>
    </row>
    <row r="402" spans="1:24" ht="12.5">
      <c r="A402" s="4" t="s">
        <v>5</v>
      </c>
      <c r="B402" s="4"/>
      <c r="C402" s="4" t="s">
        <v>98</v>
      </c>
      <c r="D402" s="4" t="s">
        <v>99</v>
      </c>
      <c r="E402" s="4">
        <v>34691275130</v>
      </c>
      <c r="F402" s="4" t="s">
        <v>83</v>
      </c>
      <c r="G402" s="32">
        <v>45929</v>
      </c>
      <c r="H402" s="4" t="s">
        <v>856</v>
      </c>
      <c r="I402" s="4" t="s">
        <v>448</v>
      </c>
      <c r="J402" s="68" t="b">
        <v>0</v>
      </c>
      <c r="K402" s="67" t="b">
        <v>1</v>
      </c>
      <c r="L402" s="68" t="b">
        <v>0</v>
      </c>
      <c r="M402" s="66" t="b">
        <v>0</v>
      </c>
      <c r="N402" s="67" t="b">
        <v>0</v>
      </c>
      <c r="O402" s="68" t="b">
        <v>0</v>
      </c>
      <c r="P402" s="66" t="b">
        <v>0</v>
      </c>
      <c r="Q402" s="67" t="b">
        <v>0</v>
      </c>
      <c r="R402" s="68" t="b">
        <v>0</v>
      </c>
      <c r="S402" s="4" t="s">
        <v>945</v>
      </c>
      <c r="T402" s="16">
        <v>45933</v>
      </c>
      <c r="U402" s="6">
        <v>95</v>
      </c>
      <c r="V402" s="4">
        <v>0</v>
      </c>
      <c r="W402" s="4">
        <v>1</v>
      </c>
      <c r="X402" s="8">
        <v>45658</v>
      </c>
    </row>
    <row r="403" spans="1:24" ht="12.5">
      <c r="A403" s="4" t="s">
        <v>5</v>
      </c>
      <c r="B403" s="4"/>
      <c r="C403" s="4" t="s">
        <v>98</v>
      </c>
      <c r="D403" s="4" t="s">
        <v>99</v>
      </c>
      <c r="E403" s="4">
        <v>34691275130</v>
      </c>
      <c r="F403" s="4" t="s">
        <v>1283</v>
      </c>
      <c r="G403" s="32">
        <v>45929</v>
      </c>
      <c r="H403" s="4" t="s">
        <v>856</v>
      </c>
      <c r="I403" s="4" t="s">
        <v>459</v>
      </c>
      <c r="J403" s="68" t="b">
        <v>1</v>
      </c>
      <c r="K403" s="67" t="b">
        <v>1</v>
      </c>
      <c r="L403" s="68" t="b">
        <v>0</v>
      </c>
      <c r="M403" s="66" t="b">
        <v>0</v>
      </c>
      <c r="N403" s="67" t="b">
        <v>0</v>
      </c>
      <c r="O403" s="68" t="b">
        <v>0</v>
      </c>
      <c r="P403" s="66" t="b">
        <v>0</v>
      </c>
      <c r="Q403" s="67" t="b">
        <v>0</v>
      </c>
      <c r="R403" s="68" t="b">
        <v>0</v>
      </c>
      <c r="S403" s="8"/>
      <c r="T403" s="16"/>
    </row>
    <row r="404" spans="1:24" ht="12.5">
      <c r="A404" s="4" t="s">
        <v>5</v>
      </c>
      <c r="B404" s="4"/>
      <c r="C404" s="4" t="s">
        <v>100</v>
      </c>
      <c r="D404" s="4" t="s">
        <v>101</v>
      </c>
      <c r="E404" s="4">
        <v>34697227897</v>
      </c>
      <c r="F404" s="4" t="s">
        <v>102</v>
      </c>
      <c r="G404" s="32">
        <v>45929</v>
      </c>
      <c r="H404" s="4" t="s">
        <v>856</v>
      </c>
      <c r="I404" s="4" t="s">
        <v>448</v>
      </c>
      <c r="J404" s="68" t="b">
        <v>0</v>
      </c>
      <c r="K404" s="67" t="b">
        <v>1</v>
      </c>
      <c r="L404" s="68" t="b">
        <v>0</v>
      </c>
      <c r="M404" s="66" t="b">
        <v>0</v>
      </c>
      <c r="N404" s="67" t="b">
        <v>0</v>
      </c>
      <c r="O404" s="68" t="b">
        <v>0</v>
      </c>
      <c r="P404" s="66" t="b">
        <v>0</v>
      </c>
      <c r="Q404" s="67" t="b">
        <v>0</v>
      </c>
      <c r="R404" s="68" t="b">
        <v>0</v>
      </c>
      <c r="S404" s="4" t="s">
        <v>945</v>
      </c>
      <c r="T404" s="5">
        <v>45938</v>
      </c>
      <c r="U404" s="6">
        <v>276</v>
      </c>
      <c r="V404" s="7">
        <v>0.3</v>
      </c>
      <c r="W404" s="4">
        <v>1</v>
      </c>
      <c r="X404" s="8">
        <v>45658</v>
      </c>
    </row>
    <row r="405" spans="1:24" ht="12.5">
      <c r="A405" s="4" t="s">
        <v>5</v>
      </c>
      <c r="B405" s="4"/>
      <c r="C405" s="4" t="s">
        <v>1284</v>
      </c>
      <c r="D405" s="4" t="s">
        <v>1285</v>
      </c>
      <c r="E405" s="4">
        <v>34655021717</v>
      </c>
      <c r="F405" s="4" t="s">
        <v>307</v>
      </c>
      <c r="G405" s="32">
        <v>45929</v>
      </c>
      <c r="H405" s="4" t="s">
        <v>856</v>
      </c>
      <c r="I405" s="4" t="s">
        <v>459</v>
      </c>
      <c r="J405" s="68" t="b">
        <v>0</v>
      </c>
      <c r="K405" s="67" t="b">
        <v>1</v>
      </c>
      <c r="L405" s="68" t="b">
        <v>0</v>
      </c>
      <c r="M405" s="66" t="b">
        <v>1</v>
      </c>
      <c r="N405" s="67" t="b">
        <v>0</v>
      </c>
      <c r="O405" s="68" t="b">
        <v>0</v>
      </c>
      <c r="P405" s="66" t="b">
        <v>0</v>
      </c>
      <c r="Q405" s="67" t="b">
        <v>0</v>
      </c>
      <c r="R405" s="68" t="b">
        <v>0</v>
      </c>
      <c r="S405" s="8"/>
    </row>
    <row r="406" spans="1:24" ht="12.5">
      <c r="A406" s="4" t="s">
        <v>5</v>
      </c>
      <c r="B406" s="4"/>
      <c r="C406" s="4" t="s">
        <v>1286</v>
      </c>
      <c r="D406" s="4"/>
      <c r="E406" s="4">
        <v>34699557504</v>
      </c>
      <c r="F406" s="4" t="s">
        <v>40</v>
      </c>
      <c r="G406" s="32">
        <v>45929</v>
      </c>
      <c r="H406" s="4" t="s">
        <v>956</v>
      </c>
      <c r="I406" s="4" t="s">
        <v>886</v>
      </c>
      <c r="J406" s="68" t="b">
        <v>1</v>
      </c>
      <c r="K406" s="67" t="b">
        <v>1</v>
      </c>
      <c r="L406" s="68" t="b">
        <v>0</v>
      </c>
      <c r="M406" s="66" t="b">
        <v>0</v>
      </c>
      <c r="N406" s="67" t="b">
        <v>0</v>
      </c>
      <c r="O406" s="68" t="b">
        <v>0</v>
      </c>
      <c r="P406" s="66" t="b">
        <v>0</v>
      </c>
      <c r="Q406" s="67" t="b">
        <v>0</v>
      </c>
      <c r="R406" s="68" t="b">
        <v>0</v>
      </c>
      <c r="S406" s="8"/>
    </row>
    <row r="407" spans="1:24" ht="12.5">
      <c r="A407" s="4" t="s">
        <v>5</v>
      </c>
      <c r="B407" s="4"/>
      <c r="C407" s="4" t="s">
        <v>1287</v>
      </c>
      <c r="D407" s="4"/>
      <c r="E407" s="4">
        <v>34605056280</v>
      </c>
      <c r="F407" s="4" t="s">
        <v>8</v>
      </c>
      <c r="G407" s="32">
        <v>45929</v>
      </c>
      <c r="H407" s="4" t="s">
        <v>956</v>
      </c>
      <c r="I407" s="4" t="s">
        <v>459</v>
      </c>
      <c r="J407" s="68" t="b">
        <v>0</v>
      </c>
      <c r="K407" s="67" t="b">
        <v>1</v>
      </c>
      <c r="L407" s="68" t="b">
        <v>0</v>
      </c>
      <c r="M407" s="66" t="b">
        <v>0</v>
      </c>
      <c r="N407" s="67" t="b">
        <v>0</v>
      </c>
      <c r="O407" s="68" t="b">
        <v>0</v>
      </c>
      <c r="P407" s="66" t="b">
        <v>0</v>
      </c>
      <c r="Q407" s="67" t="b">
        <v>0</v>
      </c>
      <c r="R407" s="68" t="b">
        <v>0</v>
      </c>
      <c r="S407" s="8"/>
    </row>
    <row r="408" spans="1:24" ht="12.5">
      <c r="A408" s="4" t="s">
        <v>5</v>
      </c>
      <c r="B408" s="4"/>
      <c r="C408" s="4" t="s">
        <v>1288</v>
      </c>
      <c r="D408" s="4" t="s">
        <v>1289</v>
      </c>
      <c r="E408" s="4">
        <v>573006702571</v>
      </c>
      <c r="F408" s="4" t="s">
        <v>1233</v>
      </c>
      <c r="G408" s="32">
        <v>45930</v>
      </c>
      <c r="H408" s="4" t="s">
        <v>856</v>
      </c>
      <c r="I408" s="4" t="s">
        <v>459</v>
      </c>
      <c r="J408" s="68" t="b">
        <v>0</v>
      </c>
      <c r="K408" s="67" t="b">
        <v>0</v>
      </c>
      <c r="L408" s="68" t="b">
        <v>0</v>
      </c>
      <c r="M408" s="66" t="b">
        <v>0</v>
      </c>
      <c r="N408" s="67" t="b">
        <v>0</v>
      </c>
      <c r="O408" s="68" t="b">
        <v>0</v>
      </c>
      <c r="P408" s="66" t="b">
        <v>0</v>
      </c>
      <c r="Q408" s="67" t="b">
        <v>0</v>
      </c>
      <c r="R408" s="68" t="b">
        <v>0</v>
      </c>
      <c r="S408" s="8"/>
    </row>
    <row r="409" spans="1:24" ht="12.5">
      <c r="A409" s="4" t="s">
        <v>5</v>
      </c>
      <c r="B409" s="4"/>
      <c r="C409" s="4" t="s">
        <v>1290</v>
      </c>
      <c r="D409" s="4" t="s">
        <v>1291</v>
      </c>
      <c r="E409" s="4">
        <f>3467715252300</f>
        <v>3467715252300</v>
      </c>
      <c r="F409" s="4" t="s">
        <v>8</v>
      </c>
      <c r="G409" s="32">
        <v>45930</v>
      </c>
      <c r="H409" s="4" t="s">
        <v>856</v>
      </c>
      <c r="I409" s="4" t="s">
        <v>459</v>
      </c>
      <c r="J409" s="68" t="b">
        <v>0</v>
      </c>
      <c r="K409" s="67" t="b">
        <v>0</v>
      </c>
      <c r="L409" s="68" t="b">
        <v>1</v>
      </c>
      <c r="M409" s="66" t="b">
        <v>0</v>
      </c>
      <c r="N409" s="67" t="b">
        <v>1</v>
      </c>
      <c r="O409" s="68" t="b">
        <v>0</v>
      </c>
      <c r="P409" s="66" t="b">
        <v>0</v>
      </c>
      <c r="Q409" s="67" t="b">
        <v>0</v>
      </c>
      <c r="R409" s="68" t="b">
        <v>0</v>
      </c>
      <c r="S409" s="8"/>
    </row>
    <row r="410" spans="1:24" ht="12.5">
      <c r="A410" s="4" t="s">
        <v>5</v>
      </c>
      <c r="B410" s="4"/>
      <c r="C410" s="4" t="s">
        <v>1292</v>
      </c>
      <c r="D410" s="4" t="s">
        <v>1293</v>
      </c>
      <c r="E410" s="4">
        <v>50685081290</v>
      </c>
      <c r="F410" s="4" t="s">
        <v>1277</v>
      </c>
      <c r="G410" s="32">
        <v>45930</v>
      </c>
      <c r="H410" s="4" t="s">
        <v>856</v>
      </c>
      <c r="I410" s="4" t="s">
        <v>459</v>
      </c>
      <c r="J410" s="68" t="b">
        <v>0</v>
      </c>
      <c r="K410" s="67" t="b">
        <v>1</v>
      </c>
      <c r="L410" s="68" t="b">
        <v>0</v>
      </c>
      <c r="M410" s="66" t="b">
        <v>0</v>
      </c>
      <c r="N410" s="67" t="b">
        <v>0</v>
      </c>
      <c r="O410" s="68" t="b">
        <v>0</v>
      </c>
      <c r="P410" s="66" t="b">
        <v>0</v>
      </c>
      <c r="Q410" s="67" t="b">
        <v>0</v>
      </c>
      <c r="R410" s="68" t="b">
        <v>0</v>
      </c>
      <c r="S410" s="8"/>
    </row>
    <row r="411" spans="1:24" ht="12.5">
      <c r="A411" s="4" t="s">
        <v>5</v>
      </c>
      <c r="B411" s="4" t="s">
        <v>119</v>
      </c>
      <c r="C411" s="4" t="s">
        <v>1294</v>
      </c>
      <c r="D411" s="4" t="s">
        <v>1295</v>
      </c>
      <c r="E411" s="4">
        <v>34610031216</v>
      </c>
      <c r="F411" s="4" t="s">
        <v>27</v>
      </c>
      <c r="G411" s="32">
        <v>45930</v>
      </c>
      <c r="H411" s="4" t="s">
        <v>856</v>
      </c>
      <c r="I411" s="4" t="s">
        <v>459</v>
      </c>
      <c r="J411" s="68" t="b">
        <v>1</v>
      </c>
      <c r="K411" s="67" t="b">
        <v>1</v>
      </c>
      <c r="L411" s="68" t="b">
        <v>0</v>
      </c>
      <c r="M411" s="66" t="b">
        <v>0</v>
      </c>
      <c r="N411" s="67" t="b">
        <v>1</v>
      </c>
      <c r="O411" s="68" t="b">
        <v>0</v>
      </c>
      <c r="P411" s="66" t="b">
        <v>0</v>
      </c>
      <c r="Q411" s="67" t="b">
        <v>0</v>
      </c>
      <c r="R411" s="68" t="b">
        <v>0</v>
      </c>
      <c r="S411" s="8"/>
    </row>
    <row r="412" spans="1:24" ht="12.5">
      <c r="A412" s="4" t="s">
        <v>5</v>
      </c>
      <c r="B412" s="4"/>
      <c r="C412" s="4" t="s">
        <v>95</v>
      </c>
      <c r="D412" s="4" t="s">
        <v>96</v>
      </c>
      <c r="E412" s="4">
        <v>541163543478</v>
      </c>
      <c r="F412" s="4" t="s">
        <v>97</v>
      </c>
      <c r="G412" s="32">
        <v>45930</v>
      </c>
      <c r="H412" s="4" t="s">
        <v>856</v>
      </c>
      <c r="I412" s="4" t="s">
        <v>448</v>
      </c>
      <c r="J412" s="68" t="b">
        <v>0</v>
      </c>
      <c r="K412" s="67" t="b">
        <v>1</v>
      </c>
      <c r="L412" s="68" t="b">
        <v>0</v>
      </c>
      <c r="M412" s="66" t="b">
        <v>0</v>
      </c>
      <c r="N412" s="67" t="b">
        <v>0</v>
      </c>
      <c r="O412" s="68" t="b">
        <v>0</v>
      </c>
      <c r="P412" s="66" t="b">
        <v>0</v>
      </c>
      <c r="Q412" s="67" t="b">
        <v>0</v>
      </c>
      <c r="R412" s="68" t="b">
        <v>0</v>
      </c>
      <c r="S412" s="4" t="s">
        <v>945</v>
      </c>
      <c r="T412" s="16">
        <v>45933</v>
      </c>
      <c r="U412" s="6">
        <v>125</v>
      </c>
      <c r="V412" s="4">
        <v>0</v>
      </c>
      <c r="W412" s="4">
        <v>1</v>
      </c>
      <c r="X412" s="8">
        <v>45658</v>
      </c>
    </row>
    <row r="413" spans="1:24" ht="12.5">
      <c r="A413" s="4" t="s">
        <v>5</v>
      </c>
      <c r="B413" s="4"/>
      <c r="C413" s="4" t="s">
        <v>1296</v>
      </c>
      <c r="D413" s="4" t="s">
        <v>1297</v>
      </c>
      <c r="E413" s="4">
        <v>34637454295</v>
      </c>
      <c r="F413" s="4" t="s">
        <v>454</v>
      </c>
      <c r="G413" s="32">
        <v>45930</v>
      </c>
      <c r="H413" s="4" t="s">
        <v>856</v>
      </c>
      <c r="I413" s="4" t="s">
        <v>459</v>
      </c>
      <c r="J413" s="68" t="b">
        <v>0</v>
      </c>
      <c r="K413" s="67" t="b">
        <v>1</v>
      </c>
      <c r="L413" s="68" t="b">
        <v>0</v>
      </c>
      <c r="M413" s="66" t="b">
        <v>0</v>
      </c>
      <c r="N413" s="67" t="b">
        <v>0</v>
      </c>
      <c r="O413" s="68" t="b">
        <v>0</v>
      </c>
      <c r="P413" s="66" t="b">
        <v>0</v>
      </c>
      <c r="Q413" s="67" t="b">
        <v>0</v>
      </c>
      <c r="R413" s="68" t="b">
        <v>0</v>
      </c>
      <c r="S413" s="8"/>
    </row>
    <row r="414" spans="1:24" ht="12.5">
      <c r="A414" s="4" t="s">
        <v>5</v>
      </c>
      <c r="B414" s="4"/>
      <c r="C414" s="4" t="s">
        <v>92</v>
      </c>
      <c r="D414" s="4" t="s">
        <v>93</v>
      </c>
      <c r="E414" s="4">
        <v>528262615695</v>
      </c>
      <c r="F414" s="4" t="s">
        <v>94</v>
      </c>
      <c r="G414" s="32">
        <v>45930</v>
      </c>
      <c r="H414" s="4" t="s">
        <v>856</v>
      </c>
      <c r="I414" s="4" t="s">
        <v>448</v>
      </c>
      <c r="J414" s="68" t="b">
        <v>0</v>
      </c>
      <c r="K414" s="67" t="b">
        <v>0</v>
      </c>
      <c r="L414" s="68" t="b">
        <v>0</v>
      </c>
      <c r="M414" s="66" t="b">
        <v>0</v>
      </c>
      <c r="N414" s="67" t="b">
        <v>0</v>
      </c>
      <c r="O414" s="68" t="b">
        <v>0</v>
      </c>
      <c r="P414" s="66" t="b">
        <v>0</v>
      </c>
      <c r="Q414" s="67" t="b">
        <v>0</v>
      </c>
      <c r="R414" s="68" t="b">
        <v>0</v>
      </c>
      <c r="S414" s="4" t="s">
        <v>34</v>
      </c>
      <c r="T414" s="5">
        <v>45930</v>
      </c>
      <c r="U414" s="6">
        <v>145</v>
      </c>
      <c r="V414" s="4">
        <v>0</v>
      </c>
      <c r="W414" s="4">
        <v>1</v>
      </c>
      <c r="X414" s="8">
        <v>45658</v>
      </c>
    </row>
    <row r="415" spans="1:24" ht="12.5">
      <c r="A415" s="4" t="s">
        <v>5</v>
      </c>
      <c r="B415" s="4"/>
      <c r="C415" s="4" t="s">
        <v>1298</v>
      </c>
      <c r="D415" s="4" t="s">
        <v>1299</v>
      </c>
      <c r="E415" s="4">
        <v>528261158083</v>
      </c>
      <c r="F415" s="4" t="s">
        <v>319</v>
      </c>
      <c r="G415" s="32">
        <v>45931</v>
      </c>
      <c r="H415" s="4" t="s">
        <v>856</v>
      </c>
      <c r="I415" s="4" t="s">
        <v>459</v>
      </c>
      <c r="J415" s="66" t="b">
        <v>1</v>
      </c>
      <c r="K415" s="67" t="b">
        <v>1</v>
      </c>
      <c r="L415" s="68" t="b">
        <v>0</v>
      </c>
      <c r="M415" s="66" t="b">
        <v>0</v>
      </c>
      <c r="N415" s="67" t="b">
        <v>1</v>
      </c>
      <c r="O415" s="68" t="b">
        <v>0</v>
      </c>
      <c r="P415" s="66" t="b">
        <v>0</v>
      </c>
      <c r="Q415" s="67" t="b">
        <v>0</v>
      </c>
      <c r="R415" s="68" t="b">
        <v>0</v>
      </c>
      <c r="S415" s="8"/>
    </row>
    <row r="416" spans="1:24" ht="12.5">
      <c r="A416" s="4" t="s">
        <v>5</v>
      </c>
      <c r="B416" s="4"/>
      <c r="C416" s="4" t="s">
        <v>107</v>
      </c>
      <c r="D416" s="4" t="s">
        <v>108</v>
      </c>
      <c r="E416" s="4">
        <v>819074306050</v>
      </c>
      <c r="F416" s="4" t="s">
        <v>59</v>
      </c>
      <c r="G416" s="32">
        <v>45931</v>
      </c>
      <c r="H416" s="4" t="s">
        <v>856</v>
      </c>
      <c r="I416" s="4" t="s">
        <v>448</v>
      </c>
      <c r="J416" s="68" t="b">
        <v>0</v>
      </c>
      <c r="K416" s="67" t="b">
        <v>1</v>
      </c>
      <c r="L416" s="68" t="b">
        <v>0</v>
      </c>
      <c r="M416" s="66" t="b">
        <v>0</v>
      </c>
      <c r="N416" s="67" t="b">
        <v>1</v>
      </c>
      <c r="O416" s="68" t="b">
        <v>0</v>
      </c>
      <c r="P416" s="66" t="b">
        <v>0</v>
      </c>
      <c r="Q416" s="67" t="b">
        <v>0</v>
      </c>
      <c r="R416" s="68" t="b">
        <v>0</v>
      </c>
      <c r="S416" s="4" t="s">
        <v>945</v>
      </c>
      <c r="T416" s="16">
        <v>45945</v>
      </c>
      <c r="U416" s="6">
        <v>299</v>
      </c>
      <c r="V416" s="4">
        <v>0</v>
      </c>
      <c r="W416" s="4">
        <v>1</v>
      </c>
      <c r="X416" s="8">
        <v>45658</v>
      </c>
    </row>
    <row r="417" spans="1:24" ht="12.5">
      <c r="A417" s="4" t="s">
        <v>5</v>
      </c>
      <c r="B417" s="4"/>
      <c r="C417" s="4" t="s">
        <v>1300</v>
      </c>
      <c r="D417" s="4" t="s">
        <v>1301</v>
      </c>
      <c r="E417" s="4">
        <v>525539561885</v>
      </c>
      <c r="F417" s="4" t="s">
        <v>1302</v>
      </c>
      <c r="G417" s="32">
        <v>45931</v>
      </c>
      <c r="H417" s="4" t="s">
        <v>856</v>
      </c>
      <c r="I417" s="4" t="s">
        <v>941</v>
      </c>
      <c r="J417" s="68" t="b">
        <v>1</v>
      </c>
      <c r="K417" s="67" t="b">
        <v>1</v>
      </c>
      <c r="L417" s="68" t="b">
        <v>0</v>
      </c>
      <c r="M417" s="66" t="b">
        <v>0</v>
      </c>
      <c r="N417" s="67" t="b">
        <v>0</v>
      </c>
      <c r="O417" s="68" t="b">
        <v>0</v>
      </c>
      <c r="P417" s="66" t="b">
        <v>0</v>
      </c>
      <c r="Q417" s="67" t="b">
        <v>0</v>
      </c>
      <c r="R417" s="68" t="b">
        <v>0</v>
      </c>
      <c r="S417" s="8"/>
    </row>
    <row r="418" spans="1:24" ht="12.5">
      <c r="A418" s="4" t="s">
        <v>5</v>
      </c>
      <c r="B418" s="4"/>
      <c r="C418" s="4" t="s">
        <v>1303</v>
      </c>
      <c r="D418" s="4" t="s">
        <v>1304</v>
      </c>
      <c r="E418" s="4">
        <v>34690613579</v>
      </c>
      <c r="F418" s="4" t="s">
        <v>8</v>
      </c>
      <c r="G418" s="32">
        <v>45931</v>
      </c>
      <c r="H418" s="4" t="s">
        <v>856</v>
      </c>
      <c r="I418" s="4" t="s">
        <v>886</v>
      </c>
      <c r="J418" s="68" t="b">
        <v>1</v>
      </c>
      <c r="K418" s="67" t="b">
        <v>1</v>
      </c>
      <c r="L418" s="68" t="b">
        <v>0</v>
      </c>
      <c r="M418" s="66" t="b">
        <v>0</v>
      </c>
      <c r="N418" s="67" t="b">
        <v>0</v>
      </c>
      <c r="O418" s="68" t="b">
        <v>0</v>
      </c>
      <c r="P418" s="66" t="b">
        <v>0</v>
      </c>
      <c r="Q418" s="67" t="b">
        <v>0</v>
      </c>
      <c r="R418" s="68" t="b">
        <v>0</v>
      </c>
      <c r="S418" s="8"/>
    </row>
    <row r="419" spans="1:24" ht="12.5">
      <c r="A419" s="4" t="s">
        <v>5</v>
      </c>
      <c r="B419" s="4"/>
      <c r="C419" s="4" t="s">
        <v>1305</v>
      </c>
      <c r="D419" s="4" t="s">
        <v>1306</v>
      </c>
      <c r="E419" s="4">
        <v>525560666421</v>
      </c>
      <c r="F419" s="4" t="s">
        <v>1307</v>
      </c>
      <c r="G419" s="32">
        <v>45931</v>
      </c>
      <c r="H419" s="4" t="s">
        <v>856</v>
      </c>
      <c r="I419" s="4" t="s">
        <v>459</v>
      </c>
      <c r="J419" s="68" t="b">
        <v>1</v>
      </c>
      <c r="K419" s="67" t="b">
        <v>1</v>
      </c>
      <c r="L419" s="68" t="b">
        <v>0</v>
      </c>
      <c r="M419" s="66" t="b">
        <v>0</v>
      </c>
      <c r="N419" s="67" t="b">
        <v>0</v>
      </c>
      <c r="O419" s="68" t="b">
        <v>0</v>
      </c>
      <c r="P419" s="66" t="b">
        <v>0</v>
      </c>
      <c r="Q419" s="67" t="b">
        <v>0</v>
      </c>
      <c r="R419" s="68" t="b">
        <v>0</v>
      </c>
      <c r="S419" s="8"/>
    </row>
    <row r="420" spans="1:24" ht="15" customHeight="1">
      <c r="A420" s="4" t="s">
        <v>5</v>
      </c>
      <c r="B420" s="4"/>
      <c r="C420" s="4" t="s">
        <v>1308</v>
      </c>
      <c r="D420" s="4"/>
      <c r="E420" s="4">
        <v>34643753487</v>
      </c>
      <c r="F420" s="4" t="s">
        <v>52</v>
      </c>
      <c r="G420" s="32">
        <v>45931</v>
      </c>
      <c r="H420" s="4" t="s">
        <v>956</v>
      </c>
      <c r="I420" s="4" t="s">
        <v>459</v>
      </c>
      <c r="J420" s="68" t="b">
        <v>1</v>
      </c>
      <c r="K420" s="67" t="b">
        <v>1</v>
      </c>
      <c r="L420" s="68" t="b">
        <v>0</v>
      </c>
      <c r="M420" s="66" t="b">
        <v>0</v>
      </c>
      <c r="N420" s="67" t="b">
        <v>1</v>
      </c>
      <c r="O420" s="68" t="b">
        <v>0</v>
      </c>
      <c r="P420" s="66" t="b">
        <v>1</v>
      </c>
      <c r="Q420" s="67" t="b">
        <v>1</v>
      </c>
      <c r="R420" s="68" t="b">
        <v>0</v>
      </c>
      <c r="S420" s="4" t="s">
        <v>119</v>
      </c>
    </row>
    <row r="421" spans="1:24" ht="12.5">
      <c r="A421" s="4" t="s">
        <v>5</v>
      </c>
      <c r="B421" s="4"/>
      <c r="C421" s="4" t="s">
        <v>1309</v>
      </c>
      <c r="D421" s="4" t="s">
        <v>1310</v>
      </c>
      <c r="E421" s="4">
        <v>573197927151</v>
      </c>
      <c r="F421" s="4" t="s">
        <v>387</v>
      </c>
      <c r="G421" s="32">
        <v>45932</v>
      </c>
      <c r="H421" s="4" t="s">
        <v>856</v>
      </c>
      <c r="I421" s="4" t="s">
        <v>459</v>
      </c>
      <c r="J421" s="68" t="b">
        <v>0</v>
      </c>
      <c r="K421" s="67" t="b">
        <v>1</v>
      </c>
      <c r="L421" s="68" t="b">
        <v>0</v>
      </c>
      <c r="M421" s="66" t="b">
        <v>0</v>
      </c>
      <c r="N421" s="67" t="b">
        <v>0</v>
      </c>
      <c r="O421" s="68" t="b">
        <v>0</v>
      </c>
      <c r="P421" s="66" t="b">
        <v>0</v>
      </c>
      <c r="Q421" s="67" t="b">
        <v>0</v>
      </c>
      <c r="R421" s="68" t="b">
        <v>0</v>
      </c>
      <c r="S421" s="8"/>
    </row>
    <row r="422" spans="1:24" ht="12.5">
      <c r="A422" s="4" t="s">
        <v>5</v>
      </c>
      <c r="B422" s="4"/>
      <c r="C422" s="4" t="s">
        <v>1311</v>
      </c>
      <c r="D422" s="4" t="s">
        <v>1312</v>
      </c>
      <c r="E422" s="4">
        <v>573053481328</v>
      </c>
      <c r="F422" s="4" t="s">
        <v>1112</v>
      </c>
      <c r="G422" s="32">
        <v>45932</v>
      </c>
      <c r="H422" s="4" t="s">
        <v>856</v>
      </c>
      <c r="I422" s="4" t="s">
        <v>459</v>
      </c>
      <c r="J422" s="68" t="b">
        <v>0</v>
      </c>
      <c r="K422" s="67" t="b">
        <v>1</v>
      </c>
      <c r="L422" s="68" t="b">
        <v>0</v>
      </c>
      <c r="M422" s="66" t="b">
        <v>0</v>
      </c>
      <c r="N422" s="67" t="b">
        <v>0</v>
      </c>
      <c r="O422" s="68" t="b">
        <v>0</v>
      </c>
      <c r="P422" s="66" t="b">
        <v>0</v>
      </c>
      <c r="Q422" s="67" t="b">
        <v>0</v>
      </c>
      <c r="R422" s="68" t="b">
        <v>0</v>
      </c>
      <c r="S422" s="8"/>
    </row>
    <row r="423" spans="1:24" ht="12.5">
      <c r="A423" s="4" t="s">
        <v>5</v>
      </c>
      <c r="B423" s="4"/>
      <c r="C423" s="4" t="s">
        <v>1313</v>
      </c>
      <c r="D423" s="4" t="s">
        <v>1314</v>
      </c>
      <c r="E423" s="4">
        <v>34690763864</v>
      </c>
      <c r="F423" s="4" t="s">
        <v>740</v>
      </c>
      <c r="G423" s="32">
        <v>45932</v>
      </c>
      <c r="H423" s="4" t="s">
        <v>856</v>
      </c>
      <c r="I423" s="4" t="s">
        <v>886</v>
      </c>
      <c r="J423" s="68" t="b">
        <v>1</v>
      </c>
      <c r="K423" s="67" t="b">
        <v>1</v>
      </c>
      <c r="L423" s="68" t="b">
        <v>0</v>
      </c>
      <c r="M423" s="66" t="b">
        <v>0</v>
      </c>
      <c r="N423" s="67" t="b">
        <v>0</v>
      </c>
      <c r="O423" s="68" t="b">
        <v>0</v>
      </c>
      <c r="P423" s="66" t="b">
        <v>0</v>
      </c>
      <c r="Q423" s="67" t="b">
        <v>0</v>
      </c>
      <c r="R423" s="68" t="b">
        <v>0</v>
      </c>
      <c r="S423" s="8"/>
    </row>
    <row r="424" spans="1:24" ht="12.5">
      <c r="A424" s="4" t="s">
        <v>5</v>
      </c>
      <c r="B424" s="4"/>
      <c r="C424" s="4" t="s">
        <v>1315</v>
      </c>
      <c r="D424" s="4" t="s">
        <v>1316</v>
      </c>
      <c r="E424" s="4">
        <v>34711744300</v>
      </c>
      <c r="F424" s="4" t="s">
        <v>70</v>
      </c>
      <c r="G424" s="32">
        <v>45933</v>
      </c>
      <c r="H424" s="4" t="s">
        <v>856</v>
      </c>
      <c r="I424" s="4" t="s">
        <v>459</v>
      </c>
      <c r="J424" s="68" t="b">
        <v>1</v>
      </c>
      <c r="K424" s="67" t="b">
        <v>1</v>
      </c>
      <c r="L424" s="68" t="b">
        <v>0</v>
      </c>
      <c r="M424" s="66" t="b">
        <v>1</v>
      </c>
      <c r="N424" s="67" t="b">
        <v>1</v>
      </c>
      <c r="O424" s="68" t="b">
        <v>0</v>
      </c>
      <c r="P424" s="66" t="b">
        <v>0</v>
      </c>
      <c r="Q424" s="67" t="b">
        <v>0</v>
      </c>
      <c r="R424" s="68" t="b">
        <v>0</v>
      </c>
      <c r="S424" s="8"/>
    </row>
    <row r="425" spans="1:24" ht="12.5">
      <c r="A425" s="4" t="s">
        <v>5</v>
      </c>
      <c r="B425" s="4"/>
      <c r="C425" s="4" t="s">
        <v>98</v>
      </c>
      <c r="D425" s="4" t="s">
        <v>99</v>
      </c>
      <c r="E425" s="4">
        <v>34691275130</v>
      </c>
      <c r="F425" s="4" t="s">
        <v>1283</v>
      </c>
      <c r="G425" s="32">
        <v>45933</v>
      </c>
      <c r="H425" s="4" t="s">
        <v>856</v>
      </c>
      <c r="I425" s="4" t="s">
        <v>448</v>
      </c>
      <c r="J425" s="68" t="b">
        <v>0</v>
      </c>
      <c r="K425" s="67" t="b">
        <v>1</v>
      </c>
      <c r="L425" s="68" t="b">
        <v>0</v>
      </c>
      <c r="M425" s="66" t="b">
        <v>0</v>
      </c>
      <c r="N425" s="67" t="b">
        <v>0</v>
      </c>
      <c r="O425" s="68" t="b">
        <v>0</v>
      </c>
      <c r="P425" s="66" t="b">
        <v>0</v>
      </c>
      <c r="Q425" s="67" t="b">
        <v>0</v>
      </c>
      <c r="R425" s="68" t="b">
        <v>0</v>
      </c>
      <c r="S425" s="8"/>
    </row>
    <row r="426" spans="1:24" ht="12.5">
      <c r="A426" s="4" t="s">
        <v>5</v>
      </c>
      <c r="B426" s="4"/>
      <c r="C426" s="4" t="s">
        <v>1317</v>
      </c>
      <c r="D426" s="4" t="s">
        <v>1318</v>
      </c>
      <c r="E426" s="4">
        <v>34675625566</v>
      </c>
      <c r="F426" s="4" t="s">
        <v>8</v>
      </c>
      <c r="G426" s="32">
        <v>45933</v>
      </c>
      <c r="H426" s="4" t="s">
        <v>856</v>
      </c>
      <c r="I426" s="4" t="s">
        <v>459</v>
      </c>
      <c r="J426" s="68" t="b">
        <v>1</v>
      </c>
      <c r="K426" s="67" t="b">
        <v>1</v>
      </c>
      <c r="L426" s="68" t="b">
        <v>0</v>
      </c>
      <c r="M426" s="68" t="b">
        <v>1</v>
      </c>
      <c r="N426" s="67" t="b">
        <v>1</v>
      </c>
      <c r="O426" s="68" t="b">
        <v>0</v>
      </c>
      <c r="P426" s="66" t="b">
        <v>1</v>
      </c>
      <c r="Q426" s="67" t="b">
        <v>1</v>
      </c>
      <c r="R426" s="68" t="b">
        <v>0</v>
      </c>
      <c r="S426" s="4" t="s">
        <v>119</v>
      </c>
    </row>
    <row r="427" spans="1:24" ht="12.5">
      <c r="A427" s="4" t="s">
        <v>5</v>
      </c>
      <c r="B427" s="4"/>
      <c r="C427" s="4" t="s">
        <v>1319</v>
      </c>
      <c r="D427" s="4" t="s">
        <v>1320</v>
      </c>
      <c r="E427" s="4">
        <v>34601006369</v>
      </c>
      <c r="F427" s="4" t="s">
        <v>8</v>
      </c>
      <c r="G427" s="32">
        <v>45936</v>
      </c>
      <c r="H427" s="4" t="s">
        <v>856</v>
      </c>
      <c r="I427" s="4" t="s">
        <v>459</v>
      </c>
      <c r="J427" s="68" t="b">
        <v>1</v>
      </c>
      <c r="K427" s="67" t="b">
        <v>1</v>
      </c>
      <c r="L427" s="68" t="b">
        <v>0</v>
      </c>
      <c r="M427" s="66" t="b">
        <v>0</v>
      </c>
      <c r="N427" s="67" t="b">
        <v>1</v>
      </c>
      <c r="O427" s="68" t="b">
        <v>0</v>
      </c>
      <c r="P427" s="66" t="b">
        <v>0</v>
      </c>
      <c r="Q427" s="67" t="b">
        <v>1</v>
      </c>
      <c r="R427" s="68" t="b">
        <v>0</v>
      </c>
      <c r="S427" s="8"/>
    </row>
    <row r="428" spans="1:24" ht="12.5">
      <c r="A428" s="4" t="s">
        <v>5</v>
      </c>
      <c r="B428" s="4"/>
      <c r="C428" s="4" t="s">
        <v>1321</v>
      </c>
      <c r="D428" s="4" t="s">
        <v>1322</v>
      </c>
      <c r="E428" s="4">
        <v>34695286500</v>
      </c>
      <c r="F428" s="4" t="s">
        <v>8</v>
      </c>
      <c r="G428" s="32">
        <v>45936</v>
      </c>
      <c r="H428" s="4" t="s">
        <v>856</v>
      </c>
      <c r="I428" s="4" t="s">
        <v>459</v>
      </c>
      <c r="J428" s="68" t="b">
        <v>1</v>
      </c>
      <c r="K428" s="67" t="b">
        <v>1</v>
      </c>
      <c r="L428" s="68" t="b">
        <v>0</v>
      </c>
      <c r="M428" s="66" t="b">
        <v>1</v>
      </c>
      <c r="N428" s="67" t="b">
        <v>1</v>
      </c>
      <c r="O428" s="68" t="b">
        <v>0</v>
      </c>
      <c r="P428" s="66" t="b">
        <v>1</v>
      </c>
      <c r="Q428" s="67" t="b">
        <v>1</v>
      </c>
      <c r="R428" s="68" t="b">
        <v>0</v>
      </c>
      <c r="S428" s="8"/>
    </row>
    <row r="429" spans="1:24" ht="12.5">
      <c r="A429" s="4" t="s">
        <v>5</v>
      </c>
      <c r="B429" s="4"/>
      <c r="C429" s="4" t="s">
        <v>103</v>
      </c>
      <c r="D429" s="4" t="s">
        <v>104</v>
      </c>
      <c r="E429" s="4">
        <v>34651524816</v>
      </c>
      <c r="F429" s="4" t="s">
        <v>8</v>
      </c>
      <c r="G429" s="32">
        <v>45936</v>
      </c>
      <c r="H429" s="4" t="s">
        <v>856</v>
      </c>
      <c r="I429" s="4" t="s">
        <v>448</v>
      </c>
      <c r="J429" s="68" t="b">
        <v>0</v>
      </c>
      <c r="K429" s="67" t="b">
        <v>1</v>
      </c>
      <c r="L429" s="68" t="b">
        <v>0</v>
      </c>
      <c r="M429" s="66" t="b">
        <v>0</v>
      </c>
      <c r="N429" s="67" t="b">
        <v>0</v>
      </c>
      <c r="O429" s="68" t="b">
        <v>0</v>
      </c>
      <c r="P429" s="66" t="b">
        <v>0</v>
      </c>
      <c r="Q429" s="67" t="b">
        <v>0</v>
      </c>
      <c r="R429" s="68" t="b">
        <v>0</v>
      </c>
      <c r="S429" s="4" t="s">
        <v>945</v>
      </c>
      <c r="T429" s="16">
        <v>45939</v>
      </c>
      <c r="U429" s="6">
        <v>299</v>
      </c>
      <c r="V429" s="4">
        <v>0</v>
      </c>
      <c r="W429" s="4">
        <v>2</v>
      </c>
      <c r="X429" s="8">
        <v>45689</v>
      </c>
    </row>
    <row r="430" spans="1:24" ht="12.5">
      <c r="A430" s="4" t="s">
        <v>5</v>
      </c>
      <c r="B430" s="4"/>
      <c r="C430" s="4" t="s">
        <v>1323</v>
      </c>
      <c r="D430" s="4" t="s">
        <v>1324</v>
      </c>
      <c r="E430" s="4">
        <v>543548586620</v>
      </c>
      <c r="F430" s="4" t="s">
        <v>767</v>
      </c>
      <c r="G430" s="32">
        <v>45936</v>
      </c>
      <c r="H430" s="4" t="s">
        <v>856</v>
      </c>
      <c r="I430" s="4" t="s">
        <v>459</v>
      </c>
      <c r="J430" s="68" t="b">
        <v>0</v>
      </c>
      <c r="K430" s="67" t="b">
        <v>1</v>
      </c>
      <c r="L430" s="68" t="b">
        <v>0</v>
      </c>
      <c r="M430" s="66" t="b">
        <v>0</v>
      </c>
      <c r="N430" s="67" t="b">
        <v>1</v>
      </c>
      <c r="O430" s="68" t="b">
        <v>0</v>
      </c>
      <c r="P430" s="66" t="b">
        <v>0</v>
      </c>
      <c r="Q430" s="67" t="b">
        <v>0</v>
      </c>
      <c r="R430" s="68" t="b">
        <v>0</v>
      </c>
      <c r="S430" s="8"/>
    </row>
    <row r="431" spans="1:24" ht="12.5">
      <c r="A431" s="4" t="s">
        <v>5</v>
      </c>
      <c r="B431" s="4"/>
      <c r="C431" s="4" t="s">
        <v>1325</v>
      </c>
      <c r="D431" s="4"/>
      <c r="E431" s="4">
        <v>5493548586620</v>
      </c>
      <c r="F431" s="85" t="s">
        <v>1326</v>
      </c>
      <c r="G431" s="32">
        <v>45936</v>
      </c>
      <c r="H431" s="4" t="s">
        <v>956</v>
      </c>
      <c r="I431" s="4" t="s">
        <v>459</v>
      </c>
      <c r="J431" s="68" t="b">
        <v>0</v>
      </c>
      <c r="K431" s="67" t="b">
        <v>1</v>
      </c>
      <c r="L431" s="68" t="b">
        <v>0</v>
      </c>
      <c r="M431" s="66" t="b">
        <v>0</v>
      </c>
      <c r="N431" s="67" t="b">
        <v>1</v>
      </c>
      <c r="O431" s="68" t="b">
        <v>0</v>
      </c>
      <c r="P431" s="66" t="b">
        <v>0</v>
      </c>
      <c r="Q431" s="67" t="b">
        <v>0</v>
      </c>
      <c r="R431" s="68" t="b">
        <v>0</v>
      </c>
      <c r="S431" s="8"/>
    </row>
    <row r="432" spans="1:24" ht="12.5">
      <c r="A432" s="4" t="s">
        <v>5</v>
      </c>
      <c r="B432" s="4"/>
      <c r="C432" s="4" t="s">
        <v>1327</v>
      </c>
      <c r="D432" s="4" t="s">
        <v>1328</v>
      </c>
      <c r="E432" s="4">
        <v>34607747980</v>
      </c>
      <c r="F432" s="4" t="s">
        <v>70</v>
      </c>
      <c r="G432" s="32">
        <v>45937</v>
      </c>
      <c r="H432" s="4" t="s">
        <v>856</v>
      </c>
      <c r="I432" s="4" t="s">
        <v>459</v>
      </c>
      <c r="J432" s="66" t="b">
        <v>1</v>
      </c>
      <c r="K432" s="67" t="b">
        <v>1</v>
      </c>
      <c r="L432" s="68" t="b">
        <v>0</v>
      </c>
      <c r="M432" s="66" t="b">
        <v>0</v>
      </c>
      <c r="N432" s="67" t="b">
        <v>1</v>
      </c>
      <c r="O432" s="68" t="b">
        <v>0</v>
      </c>
      <c r="P432" s="66" t="b">
        <v>1</v>
      </c>
      <c r="Q432" s="67" t="b">
        <v>0</v>
      </c>
      <c r="R432" s="68" t="b">
        <v>0</v>
      </c>
      <c r="S432" s="8"/>
    </row>
    <row r="433" spans="1:24" ht="12.5">
      <c r="A433" s="4" t="s">
        <v>5</v>
      </c>
      <c r="B433" s="4"/>
      <c r="C433" s="4" t="s">
        <v>1329</v>
      </c>
      <c r="D433" s="4" t="s">
        <v>1330</v>
      </c>
      <c r="E433" s="4">
        <v>541144380486</v>
      </c>
      <c r="F433" s="4" t="s">
        <v>284</v>
      </c>
      <c r="G433" s="32">
        <v>45937</v>
      </c>
      <c r="H433" s="4" t="s">
        <v>856</v>
      </c>
      <c r="I433" s="4" t="s">
        <v>459</v>
      </c>
      <c r="J433" s="68" t="b">
        <v>0</v>
      </c>
      <c r="K433" s="67" t="b">
        <v>1</v>
      </c>
      <c r="L433" s="68" t="b">
        <v>0</v>
      </c>
      <c r="M433" s="66" t="b">
        <v>0</v>
      </c>
      <c r="N433" s="67" t="b">
        <v>1</v>
      </c>
      <c r="O433" s="68" t="b">
        <v>0</v>
      </c>
      <c r="P433" s="66" t="b">
        <v>0</v>
      </c>
      <c r="Q433" s="67" t="b">
        <v>0</v>
      </c>
      <c r="R433" s="68" t="b">
        <v>0</v>
      </c>
      <c r="S433" s="8"/>
    </row>
    <row r="434" spans="1:24" ht="12.5">
      <c r="A434" s="4" t="s">
        <v>5</v>
      </c>
      <c r="B434" s="4"/>
      <c r="C434" s="4" t="s">
        <v>1331</v>
      </c>
      <c r="D434" s="4" t="s">
        <v>1332</v>
      </c>
      <c r="E434" s="4">
        <v>524422585420</v>
      </c>
      <c r="F434" s="4" t="s">
        <v>111</v>
      </c>
      <c r="G434" s="32">
        <v>45937</v>
      </c>
      <c r="H434" s="4" t="s">
        <v>856</v>
      </c>
      <c r="I434" s="4" t="s">
        <v>886</v>
      </c>
      <c r="J434" s="68" t="b">
        <v>0</v>
      </c>
      <c r="K434" s="67" t="b">
        <v>1</v>
      </c>
      <c r="L434" s="68" t="b">
        <v>0</v>
      </c>
      <c r="M434" s="68" t="b">
        <v>1</v>
      </c>
      <c r="N434" s="67" t="b">
        <v>0</v>
      </c>
      <c r="O434" s="68" t="b">
        <v>0</v>
      </c>
      <c r="P434" s="66" t="b">
        <v>0</v>
      </c>
      <c r="Q434" s="67" t="b">
        <v>0</v>
      </c>
      <c r="R434" s="68" t="b">
        <v>0</v>
      </c>
      <c r="S434" s="8"/>
    </row>
    <row r="435" spans="1:24" ht="12.5">
      <c r="A435" s="4" t="s">
        <v>5</v>
      </c>
      <c r="B435" s="4"/>
      <c r="C435" s="4" t="s">
        <v>1333</v>
      </c>
      <c r="D435" s="4" t="s">
        <v>1334</v>
      </c>
      <c r="E435" s="4">
        <v>524424946631</v>
      </c>
      <c r="F435" s="4" t="s">
        <v>111</v>
      </c>
      <c r="G435" s="32">
        <v>45937</v>
      </c>
      <c r="H435" s="4" t="s">
        <v>856</v>
      </c>
      <c r="I435" s="4" t="s">
        <v>886</v>
      </c>
      <c r="J435" s="68" t="b">
        <v>0</v>
      </c>
      <c r="K435" s="67" t="b">
        <v>1</v>
      </c>
      <c r="L435" s="68" t="b">
        <v>0</v>
      </c>
      <c r="M435" s="68" t="b">
        <v>1</v>
      </c>
      <c r="N435" s="67" t="b">
        <v>0</v>
      </c>
      <c r="O435" s="68" t="b">
        <v>0</v>
      </c>
      <c r="P435" s="66" t="b">
        <v>0</v>
      </c>
      <c r="Q435" s="67" t="b">
        <v>0</v>
      </c>
      <c r="R435" s="68" t="b">
        <v>0</v>
      </c>
      <c r="S435" s="8"/>
    </row>
    <row r="436" spans="1:24" ht="12.5">
      <c r="A436" s="4" t="s">
        <v>5</v>
      </c>
      <c r="B436" s="4"/>
      <c r="C436" s="4" t="s">
        <v>1335</v>
      </c>
      <c r="D436" s="4" t="s">
        <v>1336</v>
      </c>
      <c r="E436" s="4">
        <v>5219933987380</v>
      </c>
      <c r="F436" s="4" t="s">
        <v>27</v>
      </c>
      <c r="G436" s="32">
        <v>45937</v>
      </c>
      <c r="H436" s="4" t="s">
        <v>856</v>
      </c>
      <c r="I436" s="4" t="s">
        <v>459</v>
      </c>
      <c r="J436" s="68" t="b">
        <v>1</v>
      </c>
      <c r="K436" s="67" t="b">
        <v>1</v>
      </c>
      <c r="L436" s="68" t="b">
        <v>0</v>
      </c>
      <c r="M436" s="66" t="b">
        <v>0</v>
      </c>
      <c r="N436" s="67" t="b">
        <v>0</v>
      </c>
      <c r="O436" s="68" t="b">
        <v>0</v>
      </c>
      <c r="P436" s="66" t="b">
        <v>0</v>
      </c>
      <c r="Q436" s="67" t="b">
        <v>0</v>
      </c>
      <c r="R436" s="68" t="b">
        <v>0</v>
      </c>
      <c r="S436" s="8"/>
    </row>
    <row r="437" spans="1:24" ht="12.5">
      <c r="A437" s="4" t="s">
        <v>5</v>
      </c>
      <c r="B437" s="4"/>
      <c r="C437" s="4" t="s">
        <v>1337</v>
      </c>
      <c r="D437" s="4" t="s">
        <v>1338</v>
      </c>
      <c r="E437" s="4">
        <v>573112196951</v>
      </c>
      <c r="F437" s="4" t="s">
        <v>27</v>
      </c>
      <c r="G437" s="32">
        <v>45937</v>
      </c>
      <c r="H437" s="4" t="s">
        <v>856</v>
      </c>
      <c r="I437" s="4" t="s">
        <v>459</v>
      </c>
      <c r="J437" s="68" t="b">
        <v>0</v>
      </c>
      <c r="K437" s="67" t="b">
        <v>1</v>
      </c>
      <c r="L437" s="68" t="b">
        <v>0</v>
      </c>
      <c r="M437" s="66" t="b">
        <v>0</v>
      </c>
      <c r="N437" s="67" t="b">
        <v>0</v>
      </c>
      <c r="O437" s="68" t="b">
        <v>0</v>
      </c>
      <c r="P437" s="66" t="b">
        <v>0</v>
      </c>
      <c r="Q437" s="67" t="b">
        <v>0</v>
      </c>
      <c r="R437" s="68" t="b">
        <v>0</v>
      </c>
      <c r="S437" s="8"/>
    </row>
    <row r="438" spans="1:24" ht="12.5">
      <c r="A438" s="4" t="s">
        <v>5</v>
      </c>
      <c r="B438" s="4"/>
      <c r="C438" s="4" t="s">
        <v>1339</v>
      </c>
      <c r="D438" s="4" t="s">
        <v>1340</v>
      </c>
      <c r="E438" s="4">
        <v>573144176416</v>
      </c>
      <c r="F438" s="4" t="s">
        <v>40</v>
      </c>
      <c r="G438" s="32">
        <v>45937</v>
      </c>
      <c r="H438" s="4" t="s">
        <v>856</v>
      </c>
      <c r="I438" s="4" t="s">
        <v>459</v>
      </c>
      <c r="J438" s="68" t="b">
        <v>1</v>
      </c>
      <c r="K438" s="67" t="b">
        <v>1</v>
      </c>
      <c r="L438" s="68" t="b">
        <v>0</v>
      </c>
      <c r="M438" s="66" t="b">
        <v>0</v>
      </c>
      <c r="N438" s="67" t="b">
        <v>1</v>
      </c>
      <c r="O438" s="68" t="b">
        <v>0</v>
      </c>
      <c r="P438" s="66" t="b">
        <v>0</v>
      </c>
      <c r="Q438" s="67" t="b">
        <v>1</v>
      </c>
      <c r="R438" s="68" t="b">
        <v>0</v>
      </c>
      <c r="S438" s="8"/>
    </row>
    <row r="439" spans="1:24" ht="12.5">
      <c r="A439" s="4" t="s">
        <v>5</v>
      </c>
      <c r="B439" s="4"/>
      <c r="C439" s="4" t="s">
        <v>1341</v>
      </c>
      <c r="D439" s="4" t="s">
        <v>1342</v>
      </c>
      <c r="E439" s="4">
        <v>50688191458</v>
      </c>
      <c r="F439" s="4" t="s">
        <v>284</v>
      </c>
      <c r="G439" s="32">
        <v>45937</v>
      </c>
      <c r="H439" s="4" t="s">
        <v>856</v>
      </c>
      <c r="I439" s="4" t="s">
        <v>459</v>
      </c>
      <c r="J439" s="68" t="b">
        <v>1</v>
      </c>
      <c r="K439" s="67" t="b">
        <v>1</v>
      </c>
      <c r="L439" s="68" t="b">
        <v>0</v>
      </c>
      <c r="M439" s="66" t="b">
        <v>0</v>
      </c>
      <c r="N439" s="67" t="b">
        <v>0</v>
      </c>
      <c r="O439" s="68" t="b">
        <v>0</v>
      </c>
      <c r="P439" s="66" t="b">
        <v>0</v>
      </c>
      <c r="Q439" s="67" t="b">
        <v>0</v>
      </c>
      <c r="R439" s="68" t="b">
        <v>0</v>
      </c>
      <c r="S439" s="8"/>
    </row>
    <row r="440" spans="1:24" ht="12.5">
      <c r="A440" s="4" t="s">
        <v>381</v>
      </c>
      <c r="B440" s="4"/>
      <c r="C440" s="4" t="s">
        <v>1343</v>
      </c>
      <c r="D440" s="4" t="s">
        <v>1344</v>
      </c>
      <c r="E440" s="4">
        <v>527471334047</v>
      </c>
      <c r="F440" s="4" t="s">
        <v>1345</v>
      </c>
      <c r="G440" s="32">
        <v>45937</v>
      </c>
      <c r="H440" s="4" t="s">
        <v>856</v>
      </c>
      <c r="I440" s="4" t="s">
        <v>459</v>
      </c>
      <c r="J440" s="68" t="b">
        <v>1</v>
      </c>
      <c r="K440" s="67" t="b">
        <v>1</v>
      </c>
      <c r="L440" s="68" t="b">
        <v>0</v>
      </c>
      <c r="M440" s="66" t="b">
        <v>0</v>
      </c>
      <c r="N440" s="67" t="b">
        <v>0</v>
      </c>
      <c r="O440" s="68" t="b">
        <v>0</v>
      </c>
      <c r="P440" s="66" t="b">
        <v>0</v>
      </c>
      <c r="Q440" s="67" t="b">
        <v>0</v>
      </c>
      <c r="R440" s="68" t="b">
        <v>0</v>
      </c>
      <c r="S440" s="8"/>
    </row>
    <row r="441" spans="1:24" ht="12.5">
      <c r="A441" s="4" t="s">
        <v>5</v>
      </c>
      <c r="B441" s="4"/>
      <c r="C441" s="4" t="s">
        <v>1346</v>
      </c>
      <c r="D441" s="4" t="s">
        <v>1347</v>
      </c>
      <c r="E441" s="4">
        <v>34676389327</v>
      </c>
      <c r="F441" s="4" t="s">
        <v>636</v>
      </c>
      <c r="G441" s="32">
        <v>45938</v>
      </c>
      <c r="H441" s="4" t="s">
        <v>856</v>
      </c>
      <c r="I441" s="4" t="s">
        <v>459</v>
      </c>
      <c r="J441" s="68" t="b">
        <v>1</v>
      </c>
      <c r="K441" s="67" t="b">
        <v>1</v>
      </c>
      <c r="L441" s="68" t="b">
        <v>0</v>
      </c>
      <c r="M441" s="66" t="b">
        <v>1</v>
      </c>
      <c r="N441" s="67" t="b">
        <v>1</v>
      </c>
      <c r="O441" s="68" t="b">
        <v>0</v>
      </c>
      <c r="P441" s="66" t="b">
        <v>0</v>
      </c>
      <c r="Q441" s="67" t="b">
        <v>0</v>
      </c>
      <c r="R441" s="68" t="b">
        <v>0</v>
      </c>
      <c r="S441" s="8"/>
    </row>
    <row r="442" spans="1:24" ht="12.5">
      <c r="A442" s="4" t="s">
        <v>5</v>
      </c>
      <c r="B442" s="4"/>
      <c r="C442" s="4" t="s">
        <v>1348</v>
      </c>
      <c r="D442" s="4" t="s">
        <v>1349</v>
      </c>
      <c r="E442" s="4">
        <v>34669677087</v>
      </c>
      <c r="F442" s="4" t="s">
        <v>1350</v>
      </c>
      <c r="G442" s="32">
        <v>45938</v>
      </c>
      <c r="H442" s="4" t="s">
        <v>856</v>
      </c>
      <c r="I442" s="4" t="s">
        <v>459</v>
      </c>
      <c r="J442" s="68" t="b">
        <v>1</v>
      </c>
      <c r="K442" s="67" t="b">
        <v>1</v>
      </c>
      <c r="L442" s="68" t="b">
        <v>0</v>
      </c>
      <c r="M442" s="66" t="b">
        <v>1</v>
      </c>
      <c r="N442" s="67" t="b">
        <v>1</v>
      </c>
      <c r="O442" s="68" t="b">
        <v>0</v>
      </c>
      <c r="P442" s="66" t="b">
        <v>0</v>
      </c>
      <c r="Q442" s="67" t="b">
        <v>0</v>
      </c>
      <c r="R442" s="68" t="b">
        <v>0</v>
      </c>
      <c r="S442" s="8"/>
    </row>
    <row r="443" spans="1:24" ht="12.5">
      <c r="A443" s="4" t="s">
        <v>5</v>
      </c>
      <c r="B443" s="4"/>
      <c r="C443" s="4" t="s">
        <v>1351</v>
      </c>
      <c r="D443" s="4" t="s">
        <v>1352</v>
      </c>
      <c r="E443" s="4">
        <v>5950981418021</v>
      </c>
      <c r="F443" s="4" t="s">
        <v>488</v>
      </c>
      <c r="G443" s="32">
        <v>45938</v>
      </c>
      <c r="H443" s="4" t="s">
        <v>856</v>
      </c>
      <c r="I443" s="4" t="s">
        <v>459</v>
      </c>
      <c r="J443" s="68" t="b">
        <v>1</v>
      </c>
      <c r="K443" s="67" t="b">
        <v>1</v>
      </c>
      <c r="L443" s="68" t="b">
        <v>0</v>
      </c>
      <c r="M443" s="66" t="b">
        <v>0</v>
      </c>
      <c r="N443" s="67" t="b">
        <v>1</v>
      </c>
      <c r="O443" s="68" t="b">
        <v>0</v>
      </c>
      <c r="P443" s="66" t="b">
        <v>0</v>
      </c>
      <c r="Q443" s="67" t="b">
        <v>0</v>
      </c>
      <c r="R443" s="68" t="b">
        <v>0</v>
      </c>
      <c r="S443" s="8"/>
    </row>
    <row r="444" spans="1:24" ht="12.5">
      <c r="A444" s="9" t="s">
        <v>5</v>
      </c>
      <c r="B444" s="9"/>
      <c r="C444" s="9"/>
      <c r="D444" s="9"/>
      <c r="E444" s="29">
        <v>573027231763</v>
      </c>
      <c r="F444" s="4" t="s">
        <v>210</v>
      </c>
      <c r="G444" s="32">
        <v>45938</v>
      </c>
      <c r="H444" s="4" t="s">
        <v>956</v>
      </c>
      <c r="I444" s="4" t="s">
        <v>459</v>
      </c>
      <c r="J444" s="68" t="b">
        <v>0</v>
      </c>
      <c r="K444" s="67" t="b">
        <v>1</v>
      </c>
      <c r="L444" s="68" t="b">
        <v>0</v>
      </c>
      <c r="M444" s="66" t="b">
        <v>0</v>
      </c>
      <c r="N444" s="67" t="b">
        <v>1</v>
      </c>
      <c r="O444" s="68" t="b">
        <v>0</v>
      </c>
      <c r="P444" s="68" t="b">
        <v>1</v>
      </c>
      <c r="Q444" s="67" t="b">
        <v>0</v>
      </c>
      <c r="R444" s="68" t="b">
        <v>0</v>
      </c>
      <c r="S444" s="8"/>
    </row>
    <row r="445" spans="1:24" ht="12.5">
      <c r="A445" s="4" t="s">
        <v>5</v>
      </c>
      <c r="B445" s="4"/>
      <c r="C445" s="4" t="s">
        <v>1353</v>
      </c>
      <c r="D445" s="4" t="s">
        <v>1354</v>
      </c>
      <c r="E445" s="4">
        <v>542915746290</v>
      </c>
      <c r="F445" s="4" t="s">
        <v>69</v>
      </c>
      <c r="G445" s="32">
        <v>45939</v>
      </c>
      <c r="H445" s="4" t="s">
        <v>856</v>
      </c>
      <c r="I445" s="4" t="s">
        <v>886</v>
      </c>
      <c r="J445" s="68" t="b">
        <v>1</v>
      </c>
      <c r="K445" s="67" t="b">
        <v>1</v>
      </c>
      <c r="L445" s="68" t="b">
        <v>0</v>
      </c>
      <c r="M445" s="66" t="b">
        <v>0</v>
      </c>
      <c r="N445" s="67" t="b">
        <v>0</v>
      </c>
      <c r="O445" s="68" t="b">
        <v>0</v>
      </c>
      <c r="P445" s="66" t="b">
        <v>0</v>
      </c>
      <c r="Q445" s="67" t="b">
        <v>0</v>
      </c>
      <c r="R445" s="68" t="b">
        <v>0</v>
      </c>
      <c r="S445" s="8"/>
    </row>
    <row r="446" spans="1:24" ht="12.5">
      <c r="A446" s="4" t="s">
        <v>5</v>
      </c>
      <c r="B446" s="4"/>
      <c r="C446" s="4" t="s">
        <v>143</v>
      </c>
      <c r="D446" s="4" t="s">
        <v>1355</v>
      </c>
      <c r="E446" s="4">
        <v>50583764420</v>
      </c>
      <c r="F446" s="4" t="s">
        <v>102</v>
      </c>
      <c r="G446" s="32">
        <v>45939</v>
      </c>
      <c r="H446" s="4" t="s">
        <v>856</v>
      </c>
      <c r="I446" s="4" t="s">
        <v>448</v>
      </c>
      <c r="J446" s="66" t="b">
        <v>1</v>
      </c>
      <c r="K446" s="67" t="b">
        <v>1</v>
      </c>
      <c r="L446" s="68" t="b">
        <v>0</v>
      </c>
      <c r="M446" s="66" t="b">
        <v>0</v>
      </c>
      <c r="N446" s="67" t="b">
        <v>0</v>
      </c>
      <c r="O446" s="68" t="b">
        <v>0</v>
      </c>
      <c r="P446" s="66" t="b">
        <v>0</v>
      </c>
      <c r="Q446" s="67" t="b">
        <v>0</v>
      </c>
      <c r="R446" s="68" t="b">
        <v>0</v>
      </c>
      <c r="S446" s="8"/>
      <c r="T446" s="18">
        <v>45958</v>
      </c>
      <c r="U446" s="6">
        <v>98.75</v>
      </c>
      <c r="X446" s="8">
        <v>45717</v>
      </c>
    </row>
    <row r="447" spans="1:24" ht="12.5">
      <c r="A447" s="4" t="s">
        <v>5</v>
      </c>
      <c r="B447" s="4"/>
      <c r="C447" s="4" t="s">
        <v>1356</v>
      </c>
      <c r="D447" s="4" t="s">
        <v>1357</v>
      </c>
      <c r="E447" s="4">
        <v>34660656563</v>
      </c>
      <c r="F447" s="4" t="s">
        <v>1358</v>
      </c>
      <c r="G447" s="32">
        <v>45939</v>
      </c>
      <c r="H447" s="4" t="s">
        <v>856</v>
      </c>
      <c r="I447" s="4" t="s">
        <v>459</v>
      </c>
      <c r="J447" s="68" t="b">
        <v>1</v>
      </c>
      <c r="K447" s="67" t="b">
        <v>1</v>
      </c>
      <c r="L447" s="68" t="b">
        <v>0</v>
      </c>
      <c r="M447" s="68" t="b">
        <v>1</v>
      </c>
      <c r="N447" s="67" t="b">
        <v>0</v>
      </c>
      <c r="O447" s="68" t="b">
        <v>0</v>
      </c>
      <c r="P447" s="66" t="b">
        <v>1</v>
      </c>
      <c r="Q447" s="67" t="b">
        <v>1</v>
      </c>
      <c r="R447" s="68" t="b">
        <v>0</v>
      </c>
      <c r="S447" s="8"/>
    </row>
    <row r="448" spans="1:24" ht="12.5">
      <c r="A448" s="4" t="s">
        <v>5</v>
      </c>
      <c r="B448" s="4"/>
      <c r="C448" s="4" t="s">
        <v>1359</v>
      </c>
      <c r="D448" s="4" t="s">
        <v>1360</v>
      </c>
      <c r="E448" s="4">
        <v>346994055558</v>
      </c>
      <c r="F448" s="4" t="s">
        <v>298</v>
      </c>
      <c r="G448" s="32">
        <v>45940</v>
      </c>
      <c r="H448" s="4" t="s">
        <v>856</v>
      </c>
      <c r="I448" s="4" t="s">
        <v>459</v>
      </c>
      <c r="J448" s="68" t="b">
        <v>1</v>
      </c>
      <c r="K448" s="67" t="b">
        <v>1</v>
      </c>
      <c r="L448" s="68" t="b">
        <v>0</v>
      </c>
      <c r="M448" s="66" t="b">
        <v>0</v>
      </c>
      <c r="N448" s="67" t="b">
        <v>0</v>
      </c>
      <c r="O448" s="68" t="b">
        <v>0</v>
      </c>
      <c r="P448" s="66" t="b">
        <v>0</v>
      </c>
      <c r="Q448" s="67" t="b">
        <v>0</v>
      </c>
      <c r="R448" s="68" t="b">
        <v>0</v>
      </c>
      <c r="S448" s="8"/>
    </row>
    <row r="449" spans="1:24" ht="12.5">
      <c r="A449" s="4" t="s">
        <v>5</v>
      </c>
      <c r="B449" s="4"/>
      <c r="C449" s="4" t="s">
        <v>1361</v>
      </c>
      <c r="D449" s="4" t="s">
        <v>1362</v>
      </c>
      <c r="E449" s="4">
        <v>56972142314</v>
      </c>
      <c r="F449" s="4" t="s">
        <v>797</v>
      </c>
      <c r="G449" s="32">
        <v>45940</v>
      </c>
      <c r="H449" s="4" t="s">
        <v>856</v>
      </c>
      <c r="I449" s="4" t="s">
        <v>459</v>
      </c>
      <c r="J449" s="68" t="b">
        <v>1</v>
      </c>
      <c r="K449" s="67" t="b">
        <v>1</v>
      </c>
      <c r="L449" s="68" t="b">
        <v>0</v>
      </c>
      <c r="M449" s="66" t="b">
        <v>0</v>
      </c>
      <c r="N449" s="67" t="b">
        <v>0</v>
      </c>
      <c r="O449" s="68" t="b">
        <v>0</v>
      </c>
      <c r="P449" s="66" t="b">
        <v>0</v>
      </c>
      <c r="Q449" s="67" t="b">
        <v>0</v>
      </c>
      <c r="R449" s="68" t="b">
        <v>0</v>
      </c>
      <c r="S449" s="8"/>
    </row>
    <row r="450" spans="1:24" ht="12.5">
      <c r="A450" s="4" t="s">
        <v>5</v>
      </c>
      <c r="B450" s="4"/>
      <c r="C450" s="4" t="s">
        <v>1363</v>
      </c>
      <c r="D450" s="4" t="s">
        <v>1364</v>
      </c>
      <c r="E450" s="4">
        <v>34606152395</v>
      </c>
      <c r="F450" s="4" t="s">
        <v>284</v>
      </c>
      <c r="G450" s="32">
        <v>45940</v>
      </c>
      <c r="H450" s="4" t="s">
        <v>856</v>
      </c>
      <c r="I450" s="4" t="s">
        <v>886</v>
      </c>
      <c r="J450" s="68" t="b">
        <v>0</v>
      </c>
      <c r="K450" s="67" t="b">
        <v>1</v>
      </c>
      <c r="L450" s="68" t="b">
        <v>0</v>
      </c>
      <c r="M450" s="66" t="b">
        <v>1</v>
      </c>
      <c r="N450" s="67" t="b">
        <v>1</v>
      </c>
      <c r="O450" s="68" t="b">
        <v>0</v>
      </c>
      <c r="P450" s="66" t="b">
        <v>0</v>
      </c>
      <c r="Q450" s="67" t="b">
        <v>0</v>
      </c>
      <c r="R450" s="68" t="b">
        <v>0</v>
      </c>
      <c r="S450" s="8"/>
    </row>
    <row r="451" spans="1:24" ht="12.5">
      <c r="A451" s="9" t="s">
        <v>5</v>
      </c>
      <c r="B451" s="9"/>
      <c r="C451" s="9" t="s">
        <v>1365</v>
      </c>
      <c r="D451" s="9"/>
      <c r="E451" s="29">
        <v>18047746828</v>
      </c>
      <c r="F451" s="4" t="s">
        <v>5</v>
      </c>
      <c r="G451" s="43">
        <v>45941</v>
      </c>
      <c r="H451" s="4" t="s">
        <v>956</v>
      </c>
      <c r="I451" s="4" t="s">
        <v>459</v>
      </c>
      <c r="J451" s="66" t="b">
        <v>1</v>
      </c>
      <c r="K451" s="67" t="b">
        <v>1</v>
      </c>
      <c r="L451" s="68" t="b">
        <v>0</v>
      </c>
      <c r="M451" s="66" t="b">
        <v>0</v>
      </c>
      <c r="N451" s="67" t="b">
        <v>0</v>
      </c>
      <c r="O451" s="68" t="b">
        <v>0</v>
      </c>
      <c r="P451" s="66" t="b">
        <v>0</v>
      </c>
      <c r="Q451" s="67" t="b">
        <v>0</v>
      </c>
      <c r="R451" s="68" t="b">
        <v>0</v>
      </c>
      <c r="S451" s="8"/>
    </row>
    <row r="452" spans="1:24" ht="12.5">
      <c r="A452" s="4" t="s">
        <v>5</v>
      </c>
      <c r="B452" s="4"/>
      <c r="C452" s="4" t="s">
        <v>1351</v>
      </c>
      <c r="D452" s="4" t="s">
        <v>1352</v>
      </c>
      <c r="E452" s="4">
        <v>5950981418021</v>
      </c>
      <c r="F452" s="4" t="s">
        <v>488</v>
      </c>
      <c r="G452" s="32">
        <v>45942</v>
      </c>
      <c r="H452" s="4" t="s">
        <v>856</v>
      </c>
      <c r="I452" s="4" t="s">
        <v>459</v>
      </c>
      <c r="J452" s="68" t="b">
        <v>0</v>
      </c>
      <c r="K452" s="67" t="b">
        <v>1</v>
      </c>
      <c r="L452" s="68" t="b">
        <v>0</v>
      </c>
      <c r="M452" s="66" t="b">
        <v>0</v>
      </c>
      <c r="N452" s="67" t="b">
        <v>0</v>
      </c>
      <c r="O452" s="68" t="b">
        <v>0</v>
      </c>
      <c r="P452" s="66" t="b">
        <v>0</v>
      </c>
      <c r="Q452" s="67" t="b">
        <v>0</v>
      </c>
      <c r="R452" s="68" t="b">
        <v>0</v>
      </c>
      <c r="S452" s="8"/>
    </row>
    <row r="453" spans="1:24" ht="12.5">
      <c r="A453" s="4" t="s">
        <v>1140</v>
      </c>
      <c r="B453" s="4"/>
      <c r="C453" s="4" t="s">
        <v>1366</v>
      </c>
      <c r="E453" s="4">
        <v>56974899399</v>
      </c>
      <c r="F453" s="4" t="s">
        <v>1367</v>
      </c>
      <c r="G453" s="32">
        <v>45942</v>
      </c>
      <c r="H453" s="4" t="s">
        <v>956</v>
      </c>
      <c r="I453" s="4" t="s">
        <v>459</v>
      </c>
      <c r="J453" s="68" t="b">
        <v>1</v>
      </c>
      <c r="K453" s="67" t="b">
        <v>1</v>
      </c>
      <c r="L453" s="68" t="b">
        <v>0</v>
      </c>
      <c r="M453" s="66" t="b">
        <v>0</v>
      </c>
      <c r="N453" s="67" t="b">
        <v>1</v>
      </c>
      <c r="O453" s="68" t="b">
        <v>0</v>
      </c>
      <c r="P453" s="66" t="b">
        <v>0</v>
      </c>
      <c r="Q453" s="67" t="b">
        <v>0</v>
      </c>
      <c r="R453" s="68" t="b">
        <v>0</v>
      </c>
      <c r="S453" s="8"/>
    </row>
    <row r="454" spans="1:24" ht="12.5">
      <c r="A454" s="4" t="s">
        <v>5</v>
      </c>
      <c r="B454" s="4"/>
      <c r="C454" s="4" t="s">
        <v>1368</v>
      </c>
      <c r="D454" s="4" t="s">
        <v>1369</v>
      </c>
      <c r="E454" s="4">
        <v>34647145751</v>
      </c>
      <c r="F454" s="4" t="s">
        <v>70</v>
      </c>
      <c r="G454" s="32">
        <v>45944</v>
      </c>
      <c r="H454" s="4" t="s">
        <v>856</v>
      </c>
      <c r="I454" s="4" t="s">
        <v>886</v>
      </c>
      <c r="J454" s="68" t="b">
        <v>1</v>
      </c>
      <c r="K454" s="67" t="b">
        <v>1</v>
      </c>
      <c r="L454" s="68" t="b">
        <v>0</v>
      </c>
      <c r="M454" s="68" t="b">
        <v>1</v>
      </c>
      <c r="N454" s="67" t="b">
        <v>0</v>
      </c>
      <c r="O454" s="68" t="b">
        <v>0</v>
      </c>
      <c r="P454" s="66" t="b">
        <v>1</v>
      </c>
      <c r="Q454" s="67" t="b">
        <v>0</v>
      </c>
      <c r="R454" s="68" t="b">
        <v>0</v>
      </c>
      <c r="S454" s="8"/>
    </row>
    <row r="455" spans="1:24" ht="12.5">
      <c r="A455" s="4" t="s">
        <v>5</v>
      </c>
      <c r="B455" s="4"/>
      <c r="C455" s="4" t="s">
        <v>1370</v>
      </c>
      <c r="D455" s="4" t="s">
        <v>1178</v>
      </c>
      <c r="E455" s="4">
        <v>34678097749</v>
      </c>
      <c r="F455" s="4" t="s">
        <v>70</v>
      </c>
      <c r="G455" s="32">
        <v>45944</v>
      </c>
      <c r="H455" s="4" t="s">
        <v>856</v>
      </c>
      <c r="I455" s="4" t="s">
        <v>1371</v>
      </c>
      <c r="J455" s="68" t="b">
        <v>0</v>
      </c>
      <c r="K455" s="67" t="b">
        <v>1</v>
      </c>
      <c r="L455" s="68" t="b">
        <v>0</v>
      </c>
      <c r="M455" s="68" t="b">
        <v>0</v>
      </c>
      <c r="N455" s="67" t="b">
        <v>1</v>
      </c>
      <c r="O455" s="68" t="b">
        <v>0</v>
      </c>
      <c r="P455" s="66" t="b">
        <v>1</v>
      </c>
      <c r="Q455" s="67" t="b">
        <v>1</v>
      </c>
      <c r="R455" s="68" t="b">
        <v>0</v>
      </c>
      <c r="S455" s="8"/>
    </row>
    <row r="456" spans="1:24" ht="12.5">
      <c r="A456" s="4" t="s">
        <v>5</v>
      </c>
      <c r="B456" s="4"/>
      <c r="C456" s="4" t="s">
        <v>1372</v>
      </c>
      <c r="D456" s="4" t="s">
        <v>1373</v>
      </c>
      <c r="F456" s="4" t="s">
        <v>535</v>
      </c>
      <c r="G456" s="32">
        <v>45944</v>
      </c>
      <c r="H456" s="4" t="s">
        <v>856</v>
      </c>
      <c r="I456" s="4" t="s">
        <v>459</v>
      </c>
      <c r="J456" s="68" t="b">
        <v>0</v>
      </c>
      <c r="K456" s="67" t="b">
        <v>1</v>
      </c>
      <c r="L456" s="68" t="b">
        <v>0</v>
      </c>
      <c r="M456" s="68" t="b">
        <v>1</v>
      </c>
      <c r="N456" s="67" t="b">
        <v>1</v>
      </c>
      <c r="O456" s="68" t="b">
        <v>0</v>
      </c>
      <c r="P456" s="66" t="b">
        <v>1</v>
      </c>
      <c r="Q456" s="67" t="b">
        <v>0</v>
      </c>
      <c r="R456" s="68" t="b">
        <v>0</v>
      </c>
      <c r="S456" s="8"/>
    </row>
    <row r="457" spans="1:24" ht="12.5">
      <c r="A457" s="4" t="s">
        <v>5</v>
      </c>
      <c r="B457" s="4"/>
      <c r="C457" s="4" t="s">
        <v>394</v>
      </c>
      <c r="D457" s="4"/>
      <c r="E457" s="4">
        <v>573122309588</v>
      </c>
      <c r="F457" s="4" t="s">
        <v>1055</v>
      </c>
      <c r="G457" s="32">
        <v>45944</v>
      </c>
      <c r="H457" s="4" t="s">
        <v>956</v>
      </c>
      <c r="I457" s="4" t="s">
        <v>459</v>
      </c>
      <c r="J457" s="68" t="b">
        <v>0</v>
      </c>
      <c r="K457" s="67" t="b">
        <v>1</v>
      </c>
      <c r="L457" s="68" t="b">
        <v>0</v>
      </c>
      <c r="M457" s="68" t="b">
        <v>0</v>
      </c>
      <c r="N457" s="67" t="b">
        <v>0</v>
      </c>
      <c r="O457" s="68" t="b">
        <v>0</v>
      </c>
      <c r="P457" s="66" t="b">
        <v>0</v>
      </c>
      <c r="Q457" s="67" t="b">
        <v>0</v>
      </c>
      <c r="R457" s="68" t="b">
        <v>0</v>
      </c>
      <c r="S457" s="8"/>
    </row>
    <row r="458" spans="1:24" ht="12.5">
      <c r="A458" s="4" t="s">
        <v>5</v>
      </c>
      <c r="B458" s="4"/>
      <c r="C458" s="4" t="s">
        <v>109</v>
      </c>
      <c r="D458" s="4" t="s">
        <v>110</v>
      </c>
      <c r="E458" s="4">
        <v>34622413016</v>
      </c>
      <c r="F458" s="4" t="s">
        <v>111</v>
      </c>
      <c r="G458" s="32">
        <v>45945</v>
      </c>
      <c r="H458" s="4" t="s">
        <v>856</v>
      </c>
      <c r="I458" s="4" t="s">
        <v>448</v>
      </c>
      <c r="J458" s="68" t="b">
        <v>0</v>
      </c>
      <c r="K458" s="67" t="b">
        <v>1</v>
      </c>
      <c r="L458" s="68" t="b">
        <v>0</v>
      </c>
      <c r="M458" s="68" t="b">
        <v>0</v>
      </c>
      <c r="N458" s="67" t="b">
        <v>0</v>
      </c>
      <c r="O458" s="68" t="b">
        <v>0</v>
      </c>
      <c r="P458" s="66" t="b">
        <v>0</v>
      </c>
      <c r="Q458" s="67" t="b">
        <v>0</v>
      </c>
      <c r="R458" s="68" t="b">
        <v>0</v>
      </c>
      <c r="S458" s="4" t="s">
        <v>945</v>
      </c>
      <c r="T458" s="18">
        <v>45945</v>
      </c>
      <c r="U458" s="6">
        <v>270</v>
      </c>
      <c r="V458" s="4">
        <v>0</v>
      </c>
      <c r="W458" s="4">
        <v>1</v>
      </c>
      <c r="X458" s="8">
        <v>45658</v>
      </c>
    </row>
    <row r="459" spans="1:24" ht="12.5">
      <c r="A459" s="4" t="s">
        <v>5</v>
      </c>
      <c r="B459" s="4"/>
      <c r="C459" s="4" t="s">
        <v>1374</v>
      </c>
      <c r="D459" s="4" t="s">
        <v>1375</v>
      </c>
      <c r="E459" s="4">
        <v>34696317488</v>
      </c>
      <c r="F459" s="4" t="s">
        <v>284</v>
      </c>
      <c r="G459" s="32">
        <v>45945</v>
      </c>
      <c r="H459" s="4" t="s">
        <v>856</v>
      </c>
      <c r="I459" s="4" t="s">
        <v>886</v>
      </c>
      <c r="J459" s="68" t="b">
        <v>1</v>
      </c>
      <c r="K459" s="67" t="b">
        <v>1</v>
      </c>
      <c r="L459" s="68" t="b">
        <v>0</v>
      </c>
      <c r="M459" s="68" t="b">
        <v>0</v>
      </c>
      <c r="N459" s="67" t="b">
        <v>1</v>
      </c>
      <c r="O459" s="68" t="b">
        <v>0</v>
      </c>
      <c r="P459" s="66" t="b">
        <v>0</v>
      </c>
      <c r="Q459" s="67" t="b">
        <v>0</v>
      </c>
      <c r="R459" s="68" t="b">
        <v>0</v>
      </c>
      <c r="S459" s="4"/>
      <c r="T459" s="18"/>
      <c r="U459" s="6"/>
      <c r="V459" s="4"/>
      <c r="W459" s="4"/>
      <c r="X459" s="8"/>
    </row>
    <row r="460" spans="1:24" ht="12.5">
      <c r="A460" s="4" t="s">
        <v>5</v>
      </c>
      <c r="B460" s="4"/>
      <c r="C460" s="4" t="s">
        <v>1376</v>
      </c>
      <c r="D460" s="4" t="s">
        <v>1377</v>
      </c>
      <c r="E460" s="4">
        <v>524921296213</v>
      </c>
      <c r="F460" s="4" t="s">
        <v>1378</v>
      </c>
      <c r="G460" s="32">
        <v>45945</v>
      </c>
      <c r="H460" s="4" t="s">
        <v>856</v>
      </c>
      <c r="I460" s="4" t="s">
        <v>459</v>
      </c>
      <c r="J460" s="68" t="b">
        <v>1</v>
      </c>
      <c r="K460" s="67" t="b">
        <v>1</v>
      </c>
      <c r="L460" s="68" t="b">
        <v>0</v>
      </c>
      <c r="M460" s="68" t="b">
        <v>0</v>
      </c>
      <c r="N460" s="67" t="b">
        <v>0</v>
      </c>
      <c r="O460" s="68" t="b">
        <v>0</v>
      </c>
      <c r="P460" s="66" t="b">
        <v>0</v>
      </c>
      <c r="Q460" s="67" t="b">
        <v>0</v>
      </c>
      <c r="R460" s="68" t="b">
        <v>0</v>
      </c>
      <c r="S460" s="4"/>
      <c r="T460" s="18"/>
      <c r="U460" s="6"/>
      <c r="V460" s="4"/>
      <c r="W460" s="4"/>
      <c r="X460" s="8"/>
    </row>
    <row r="461" spans="1:24" ht="12.5">
      <c r="A461" s="4" t="s">
        <v>5</v>
      </c>
      <c r="B461" s="4"/>
      <c r="C461" s="4" t="s">
        <v>1379</v>
      </c>
      <c r="D461" s="4" t="s">
        <v>1380</v>
      </c>
      <c r="E461" s="4">
        <v>50688489088</v>
      </c>
      <c r="F461" s="4" t="s">
        <v>284</v>
      </c>
      <c r="G461" s="32">
        <v>45946</v>
      </c>
      <c r="H461" s="4" t="s">
        <v>856</v>
      </c>
      <c r="I461" s="4" t="s">
        <v>459</v>
      </c>
      <c r="J461" s="68" t="b">
        <v>1</v>
      </c>
      <c r="K461" s="67" t="b">
        <v>1</v>
      </c>
      <c r="L461" s="68" t="b">
        <v>0</v>
      </c>
      <c r="M461" s="68" t="b">
        <v>0</v>
      </c>
      <c r="N461" s="67" t="b">
        <v>0</v>
      </c>
      <c r="O461" s="68" t="b">
        <v>0</v>
      </c>
      <c r="P461" s="66" t="b">
        <v>0</v>
      </c>
      <c r="Q461" s="67" t="b">
        <v>0</v>
      </c>
      <c r="R461" s="68" t="b">
        <v>0</v>
      </c>
      <c r="S461" s="4"/>
      <c r="T461" s="18"/>
      <c r="U461" s="6"/>
      <c r="V461" s="4"/>
      <c r="W461" s="4"/>
      <c r="X461" s="8"/>
    </row>
    <row r="462" spans="1:24" ht="12.5">
      <c r="A462" s="81" t="s">
        <v>381</v>
      </c>
      <c r="B462" s="4"/>
      <c r="C462" s="4" t="s">
        <v>1381</v>
      </c>
      <c r="D462" s="4" t="s">
        <v>1382</v>
      </c>
      <c r="E462" s="4">
        <v>526862429115</v>
      </c>
      <c r="F462" s="4" t="s">
        <v>1383</v>
      </c>
      <c r="G462" s="32">
        <v>45947</v>
      </c>
      <c r="H462" s="4" t="s">
        <v>856</v>
      </c>
      <c r="I462" s="4" t="s">
        <v>459</v>
      </c>
      <c r="J462" s="68" t="b">
        <v>0</v>
      </c>
      <c r="K462" s="67" t="b">
        <v>0</v>
      </c>
      <c r="L462" s="68" t="b">
        <v>0</v>
      </c>
      <c r="M462" s="68" t="b">
        <v>0</v>
      </c>
      <c r="N462" s="67" t="b">
        <v>0</v>
      </c>
      <c r="O462" s="68" t="b">
        <v>0</v>
      </c>
      <c r="P462" s="66" t="b">
        <v>0</v>
      </c>
      <c r="Q462" s="67" t="b">
        <v>0</v>
      </c>
      <c r="R462" s="68" t="b">
        <v>0</v>
      </c>
      <c r="S462" s="4"/>
      <c r="T462" s="18"/>
      <c r="U462" s="6"/>
      <c r="V462" s="4"/>
      <c r="W462" s="4"/>
      <c r="X462" s="8"/>
    </row>
    <row r="463" spans="1:24" ht="12.5">
      <c r="A463" s="4" t="s">
        <v>5</v>
      </c>
      <c r="B463" s="4"/>
      <c r="C463" s="4" t="s">
        <v>1384</v>
      </c>
      <c r="E463" s="4">
        <v>690379390</v>
      </c>
      <c r="F463" s="4" t="s">
        <v>1385</v>
      </c>
      <c r="G463" s="32">
        <v>45947</v>
      </c>
      <c r="H463" s="4" t="s">
        <v>956</v>
      </c>
      <c r="I463" s="4" t="s">
        <v>459</v>
      </c>
      <c r="J463" s="68" t="b">
        <v>1</v>
      </c>
      <c r="K463" s="67" t="b">
        <v>1</v>
      </c>
      <c r="L463" s="68" t="b">
        <v>0</v>
      </c>
      <c r="M463" s="68" t="b">
        <v>0</v>
      </c>
      <c r="N463" s="67" t="b">
        <v>1</v>
      </c>
      <c r="O463" s="68" t="b">
        <v>0</v>
      </c>
      <c r="P463" s="66" t="b">
        <v>0</v>
      </c>
      <c r="Q463" s="67" t="b">
        <v>0</v>
      </c>
      <c r="R463" s="68" t="b">
        <v>0</v>
      </c>
      <c r="S463" s="4" t="s">
        <v>119</v>
      </c>
    </row>
    <row r="464" spans="1:24" ht="12.5">
      <c r="A464" s="81" t="s">
        <v>381</v>
      </c>
      <c r="B464" s="4"/>
      <c r="C464" s="4" t="s">
        <v>1386</v>
      </c>
      <c r="E464" s="19">
        <v>5216862880480</v>
      </c>
      <c r="F464" s="4" t="s">
        <v>1383</v>
      </c>
      <c r="G464" s="32">
        <v>45947</v>
      </c>
      <c r="H464" s="4" t="s">
        <v>956</v>
      </c>
      <c r="I464" s="4" t="s">
        <v>459</v>
      </c>
      <c r="J464" s="68" t="b">
        <v>1</v>
      </c>
      <c r="K464" s="67" t="b">
        <v>1</v>
      </c>
      <c r="L464" s="68" t="b">
        <v>0</v>
      </c>
      <c r="M464" s="68" t="b">
        <v>0</v>
      </c>
      <c r="N464" s="67" t="b">
        <v>0</v>
      </c>
      <c r="O464" s="68" t="b">
        <v>0</v>
      </c>
      <c r="P464" s="66" t="b">
        <v>0</v>
      </c>
      <c r="Q464" s="67" t="b">
        <v>0</v>
      </c>
      <c r="R464" s="68" t="b">
        <v>0</v>
      </c>
      <c r="S464" s="8"/>
    </row>
    <row r="465" spans="1:24" ht="12.5">
      <c r="A465" s="4" t="s">
        <v>5</v>
      </c>
      <c r="B465" s="4"/>
      <c r="C465" s="4" t="s">
        <v>114</v>
      </c>
      <c r="D465" s="4" t="s">
        <v>115</v>
      </c>
      <c r="E465" s="19">
        <v>34616529326</v>
      </c>
      <c r="F465" s="4" t="s">
        <v>116</v>
      </c>
      <c r="G465" s="32">
        <v>45947</v>
      </c>
      <c r="H465" s="4" t="s">
        <v>856</v>
      </c>
      <c r="I465" s="4" t="s">
        <v>448</v>
      </c>
      <c r="J465" s="68" t="b">
        <v>0</v>
      </c>
      <c r="K465" s="67" t="b">
        <v>1</v>
      </c>
      <c r="L465" s="68" t="b">
        <v>0</v>
      </c>
      <c r="M465" s="68" t="b">
        <v>0</v>
      </c>
      <c r="N465" s="67" t="b">
        <v>0</v>
      </c>
      <c r="O465" s="68" t="b">
        <v>0</v>
      </c>
      <c r="P465" s="66" t="b">
        <v>0</v>
      </c>
      <c r="Q465" s="67" t="b">
        <v>0</v>
      </c>
      <c r="R465" s="68" t="b">
        <v>0</v>
      </c>
      <c r="S465" s="4" t="s">
        <v>945</v>
      </c>
      <c r="T465" s="4" t="s">
        <v>1387</v>
      </c>
      <c r="U465" s="6">
        <v>80</v>
      </c>
      <c r="V465" s="4">
        <v>0</v>
      </c>
      <c r="W465" s="4">
        <v>1</v>
      </c>
      <c r="X465" s="8">
        <v>45658</v>
      </c>
    </row>
    <row r="466" spans="1:24" ht="12.5">
      <c r="A466" s="4" t="s">
        <v>5</v>
      </c>
      <c r="B466" s="4"/>
      <c r="C466" s="4" t="s">
        <v>1388</v>
      </c>
      <c r="D466" s="4" t="s">
        <v>1389</v>
      </c>
      <c r="E466" s="19">
        <v>56990022499</v>
      </c>
      <c r="F466" s="4" t="s">
        <v>52</v>
      </c>
      <c r="G466" s="32">
        <v>45948</v>
      </c>
      <c r="H466" s="4" t="s">
        <v>956</v>
      </c>
      <c r="I466" s="4" t="s">
        <v>886</v>
      </c>
      <c r="J466" s="68" t="b">
        <v>0</v>
      </c>
      <c r="K466" s="67" t="b">
        <v>1</v>
      </c>
      <c r="L466" s="68" t="b">
        <v>0</v>
      </c>
      <c r="M466" s="68" t="b">
        <v>0</v>
      </c>
      <c r="N466" s="67" t="b">
        <v>0</v>
      </c>
      <c r="O466" s="68" t="b">
        <v>0</v>
      </c>
      <c r="P466" s="66" t="b">
        <v>0</v>
      </c>
      <c r="Q466" s="67" t="b">
        <v>0</v>
      </c>
      <c r="R466" s="68" t="b">
        <v>0</v>
      </c>
      <c r="S466" s="4" t="s">
        <v>945</v>
      </c>
    </row>
    <row r="467" spans="1:24" ht="12.5">
      <c r="A467" s="4" t="s">
        <v>5</v>
      </c>
      <c r="B467" s="4"/>
      <c r="C467" s="4" t="s">
        <v>122</v>
      </c>
      <c r="D467" s="4" t="s">
        <v>123</v>
      </c>
      <c r="E467" s="19">
        <v>34662202855</v>
      </c>
      <c r="F467" s="4" t="s">
        <v>33</v>
      </c>
      <c r="G467" s="32">
        <v>45949</v>
      </c>
      <c r="H467" s="4" t="s">
        <v>956</v>
      </c>
      <c r="I467" s="4" t="s">
        <v>448</v>
      </c>
      <c r="J467" s="68" t="b">
        <v>1</v>
      </c>
      <c r="K467" s="67" t="b">
        <v>1</v>
      </c>
      <c r="L467" s="68" t="b">
        <v>0</v>
      </c>
      <c r="M467" s="68" t="b">
        <v>1</v>
      </c>
      <c r="N467" s="67" t="b">
        <v>1</v>
      </c>
      <c r="O467" s="68" t="b">
        <v>0</v>
      </c>
      <c r="P467" s="66" t="b">
        <v>0</v>
      </c>
      <c r="Q467" s="67" t="b">
        <v>0</v>
      </c>
      <c r="R467" s="68" t="b">
        <v>0</v>
      </c>
      <c r="S467" s="4" t="s">
        <v>119</v>
      </c>
      <c r="T467" s="18">
        <v>45954</v>
      </c>
      <c r="U467" s="6">
        <v>77</v>
      </c>
      <c r="V467" s="7">
        <v>0.3</v>
      </c>
      <c r="W467" s="4">
        <v>0</v>
      </c>
      <c r="X467" s="8">
        <v>45658</v>
      </c>
    </row>
    <row r="468" spans="1:24" ht="12.5">
      <c r="A468" s="4" t="s">
        <v>5</v>
      </c>
      <c r="B468" s="4"/>
      <c r="C468" s="4" t="s">
        <v>1390</v>
      </c>
      <c r="D468" s="4" t="s">
        <v>1391</v>
      </c>
      <c r="E468" s="19">
        <v>34696883482</v>
      </c>
      <c r="F468" s="4" t="s">
        <v>8</v>
      </c>
      <c r="G468" s="32">
        <v>45949</v>
      </c>
      <c r="H468" s="4" t="s">
        <v>956</v>
      </c>
      <c r="I468" s="4" t="s">
        <v>459</v>
      </c>
      <c r="J468" s="68" t="b">
        <v>0</v>
      </c>
      <c r="K468" s="67" t="b">
        <v>1</v>
      </c>
      <c r="L468" s="68" t="b">
        <v>0</v>
      </c>
      <c r="M468" s="68" t="b">
        <v>0</v>
      </c>
      <c r="N468" s="67" t="b">
        <v>1</v>
      </c>
      <c r="O468" s="68" t="b">
        <v>0</v>
      </c>
      <c r="P468" s="66" t="b">
        <v>0</v>
      </c>
      <c r="Q468" s="67" t="b">
        <v>0</v>
      </c>
      <c r="R468" s="68" t="b">
        <v>0</v>
      </c>
      <c r="S468" s="4" t="s">
        <v>119</v>
      </c>
    </row>
    <row r="469" spans="1:24" ht="12.5">
      <c r="A469" s="4" t="s">
        <v>5</v>
      </c>
      <c r="B469" s="4"/>
      <c r="C469" s="4" t="s">
        <v>1392</v>
      </c>
      <c r="D469" s="4" t="s">
        <v>1393</v>
      </c>
      <c r="E469" s="19">
        <v>34647492930</v>
      </c>
      <c r="F469" s="4" t="s">
        <v>24</v>
      </c>
      <c r="G469" s="32">
        <v>45949</v>
      </c>
      <c r="H469" s="4" t="s">
        <v>856</v>
      </c>
      <c r="I469" s="4" t="s">
        <v>459</v>
      </c>
      <c r="J469" s="68" t="b">
        <v>1</v>
      </c>
      <c r="K469" s="67" t="b">
        <v>1</v>
      </c>
      <c r="L469" s="68" t="b">
        <v>0</v>
      </c>
      <c r="M469" s="68" t="b">
        <v>1</v>
      </c>
      <c r="N469" s="67" t="b">
        <v>1</v>
      </c>
      <c r="O469" s="68" t="b">
        <v>0</v>
      </c>
      <c r="P469" s="66" t="b">
        <v>0</v>
      </c>
      <c r="Q469" s="67" t="b">
        <v>0</v>
      </c>
      <c r="R469" s="68" t="b">
        <v>0</v>
      </c>
      <c r="S469" s="8"/>
    </row>
    <row r="470" spans="1:24" ht="12.5">
      <c r="A470" s="4" t="s">
        <v>5</v>
      </c>
      <c r="B470" s="4"/>
      <c r="C470" s="4" t="s">
        <v>1394</v>
      </c>
      <c r="D470" s="4" t="s">
        <v>1395</v>
      </c>
      <c r="E470" s="19">
        <v>524423592192</v>
      </c>
      <c r="F470" s="4" t="s">
        <v>94</v>
      </c>
      <c r="G470" s="32">
        <v>45949</v>
      </c>
      <c r="H470" s="4" t="s">
        <v>856</v>
      </c>
      <c r="I470" s="4" t="s">
        <v>459</v>
      </c>
      <c r="J470" s="68" t="b">
        <v>0</v>
      </c>
      <c r="K470" s="67" t="b">
        <v>1</v>
      </c>
      <c r="L470" s="68" t="b">
        <v>0</v>
      </c>
      <c r="M470" s="68" t="b">
        <v>0</v>
      </c>
      <c r="N470" s="67" t="b">
        <v>1</v>
      </c>
      <c r="O470" s="68" t="b">
        <v>0</v>
      </c>
      <c r="P470" s="66" t="b">
        <v>0</v>
      </c>
      <c r="Q470" s="67" t="b">
        <v>0</v>
      </c>
      <c r="R470" s="68" t="b">
        <v>0</v>
      </c>
      <c r="S470" s="8"/>
    </row>
    <row r="471" spans="1:24" ht="12.5">
      <c r="A471" s="4" t="s">
        <v>5</v>
      </c>
      <c r="B471" s="4"/>
      <c r="C471" s="4" t="s">
        <v>1396</v>
      </c>
      <c r="D471" s="4" t="s">
        <v>1397</v>
      </c>
      <c r="E471" s="19">
        <v>17083778585</v>
      </c>
      <c r="F471" s="4" t="s">
        <v>66</v>
      </c>
      <c r="G471" s="32">
        <v>45950</v>
      </c>
      <c r="H471" s="4" t="s">
        <v>856</v>
      </c>
      <c r="I471" s="4" t="s">
        <v>459</v>
      </c>
      <c r="J471" s="68" t="b">
        <v>0</v>
      </c>
      <c r="K471" s="67" t="b">
        <v>1</v>
      </c>
      <c r="L471" s="68" t="b">
        <v>0</v>
      </c>
      <c r="M471" s="68" t="b">
        <v>0</v>
      </c>
      <c r="N471" s="67" t="b">
        <v>0</v>
      </c>
      <c r="O471" s="68" t="b">
        <v>0</v>
      </c>
      <c r="P471" s="66" t="b">
        <v>0</v>
      </c>
      <c r="Q471" s="67" t="b">
        <v>0</v>
      </c>
      <c r="R471" s="68" t="b">
        <v>0</v>
      </c>
      <c r="S471" s="8"/>
    </row>
    <row r="472" spans="1:24" ht="12.5">
      <c r="A472" s="4" t="s">
        <v>5</v>
      </c>
      <c r="B472" s="4"/>
      <c r="C472" s="4" t="s">
        <v>1398</v>
      </c>
      <c r="D472" s="4" t="s">
        <v>1399</v>
      </c>
      <c r="E472" s="19">
        <v>5491125719165</v>
      </c>
      <c r="F472" s="4" t="s">
        <v>775</v>
      </c>
      <c r="G472" s="32">
        <v>45949</v>
      </c>
      <c r="H472" s="4" t="s">
        <v>856</v>
      </c>
      <c r="I472" s="4" t="s">
        <v>459</v>
      </c>
      <c r="J472" s="68" t="b">
        <v>0</v>
      </c>
      <c r="K472" s="67" t="b">
        <v>1</v>
      </c>
      <c r="L472" s="68" t="b">
        <v>0</v>
      </c>
      <c r="M472" s="68" t="b">
        <v>0</v>
      </c>
      <c r="N472" s="67" t="b">
        <v>0</v>
      </c>
      <c r="O472" s="68" t="b">
        <v>0</v>
      </c>
      <c r="P472" s="66" t="b">
        <v>0</v>
      </c>
      <c r="Q472" s="67" t="b">
        <v>0</v>
      </c>
      <c r="R472" s="68" t="b">
        <v>0</v>
      </c>
      <c r="S472" s="8"/>
    </row>
    <row r="473" spans="1:24" ht="12.5">
      <c r="A473" s="4" t="s">
        <v>5</v>
      </c>
      <c r="B473" s="4"/>
      <c r="C473" s="4" t="s">
        <v>117</v>
      </c>
      <c r="D473" s="4" t="s">
        <v>118</v>
      </c>
      <c r="E473" s="19">
        <v>34678955415</v>
      </c>
      <c r="F473" s="4" t="s">
        <v>70</v>
      </c>
      <c r="G473" s="32">
        <v>45950</v>
      </c>
      <c r="H473" s="4" t="s">
        <v>956</v>
      </c>
      <c r="I473" s="4" t="s">
        <v>448</v>
      </c>
      <c r="J473" s="68" t="b">
        <v>1</v>
      </c>
      <c r="K473" s="67" t="b">
        <v>0</v>
      </c>
      <c r="L473" s="68" t="b">
        <v>0</v>
      </c>
      <c r="M473" s="68" t="b">
        <v>0</v>
      </c>
      <c r="N473" s="67" t="b">
        <v>0</v>
      </c>
      <c r="O473" s="68" t="b">
        <v>0</v>
      </c>
      <c r="P473" s="66" t="b">
        <v>0</v>
      </c>
      <c r="Q473" s="67" t="b">
        <v>0</v>
      </c>
      <c r="R473" s="68" t="b">
        <v>0</v>
      </c>
      <c r="S473" s="4" t="s">
        <v>119</v>
      </c>
      <c r="T473" s="18">
        <v>45950</v>
      </c>
      <c r="U473" s="6">
        <v>125</v>
      </c>
      <c r="V473" s="7">
        <v>0.5</v>
      </c>
      <c r="W473" s="4">
        <v>0</v>
      </c>
      <c r="X473" s="8">
        <v>45658</v>
      </c>
    </row>
    <row r="474" spans="1:24" ht="12.5">
      <c r="A474" s="4" t="s">
        <v>5</v>
      </c>
      <c r="B474" s="4"/>
      <c r="C474" s="4" t="s">
        <v>398</v>
      </c>
      <c r="E474" s="22" t="s">
        <v>1400</v>
      </c>
      <c r="F474" s="4" t="s">
        <v>792</v>
      </c>
      <c r="G474" s="32">
        <v>45950</v>
      </c>
      <c r="H474" s="4" t="s">
        <v>956</v>
      </c>
      <c r="I474" s="4" t="s">
        <v>886</v>
      </c>
      <c r="J474" s="68" t="b">
        <v>1</v>
      </c>
      <c r="K474" s="67" t="b">
        <v>1</v>
      </c>
      <c r="L474" s="68" t="b">
        <v>0</v>
      </c>
      <c r="M474" s="68" t="b">
        <v>0</v>
      </c>
      <c r="N474" s="67" t="b">
        <v>1</v>
      </c>
      <c r="O474" s="68" t="b">
        <v>0</v>
      </c>
      <c r="P474" s="66" t="b">
        <v>0</v>
      </c>
      <c r="Q474" s="67" t="b">
        <v>0</v>
      </c>
      <c r="R474" s="68" t="b">
        <v>0</v>
      </c>
      <c r="S474" s="4" t="s">
        <v>119</v>
      </c>
      <c r="T474" s="18"/>
    </row>
    <row r="475" spans="1:24" ht="14">
      <c r="A475" s="4" t="s">
        <v>5</v>
      </c>
      <c r="B475" s="4"/>
      <c r="C475" s="4" t="s">
        <v>167</v>
      </c>
      <c r="E475" s="22" t="s">
        <v>1401</v>
      </c>
      <c r="F475" s="4" t="s">
        <v>168</v>
      </c>
      <c r="G475" s="32">
        <v>45951</v>
      </c>
      <c r="H475" s="4" t="s">
        <v>956</v>
      </c>
      <c r="I475" s="23" t="s">
        <v>941</v>
      </c>
      <c r="J475" s="68" t="b">
        <v>1</v>
      </c>
      <c r="K475" s="67" t="b">
        <v>1</v>
      </c>
      <c r="L475" s="68" t="b">
        <v>0</v>
      </c>
      <c r="M475" s="68" t="b">
        <v>0</v>
      </c>
      <c r="N475" s="67" t="b">
        <v>1</v>
      </c>
      <c r="O475" s="68" t="b">
        <v>0</v>
      </c>
      <c r="P475" s="66" t="b">
        <v>0</v>
      </c>
      <c r="Q475" s="67" t="b">
        <v>0</v>
      </c>
      <c r="R475" s="68" t="b">
        <v>0</v>
      </c>
      <c r="S475" s="4" t="s">
        <v>119</v>
      </c>
    </row>
    <row r="476" spans="1:24" ht="12.5">
      <c r="A476" s="4" t="s">
        <v>5</v>
      </c>
      <c r="B476" s="4"/>
      <c r="C476" s="4" t="s">
        <v>1402</v>
      </c>
      <c r="E476" s="22" t="s">
        <v>1403</v>
      </c>
      <c r="F476" s="4" t="s">
        <v>94</v>
      </c>
      <c r="G476" s="32">
        <v>45951</v>
      </c>
      <c r="H476" s="4" t="s">
        <v>956</v>
      </c>
      <c r="I476" s="4" t="s">
        <v>459</v>
      </c>
      <c r="J476" s="68" t="b">
        <v>1</v>
      </c>
      <c r="K476" s="67" t="b">
        <v>1</v>
      </c>
      <c r="L476" s="68" t="b">
        <v>0</v>
      </c>
      <c r="M476" s="68" t="b">
        <v>0</v>
      </c>
      <c r="N476" s="67" t="b">
        <v>1</v>
      </c>
      <c r="O476" s="68" t="b">
        <v>0</v>
      </c>
      <c r="P476" s="66" t="b">
        <v>0</v>
      </c>
      <c r="Q476" s="67" t="b">
        <v>0</v>
      </c>
      <c r="R476" s="68" t="b">
        <v>0</v>
      </c>
      <c r="S476" s="4" t="s">
        <v>119</v>
      </c>
    </row>
    <row r="477" spans="1:24" ht="12.5">
      <c r="A477" s="4" t="s">
        <v>5</v>
      </c>
      <c r="B477" s="4"/>
      <c r="C477" s="4" t="s">
        <v>1404</v>
      </c>
      <c r="E477" s="22" t="s">
        <v>1405</v>
      </c>
      <c r="F477" s="4" t="s">
        <v>1406</v>
      </c>
      <c r="G477" s="32">
        <v>45951</v>
      </c>
      <c r="H477" s="4" t="s">
        <v>956</v>
      </c>
      <c r="I477" s="4" t="s">
        <v>886</v>
      </c>
      <c r="J477" s="68" t="b">
        <v>1</v>
      </c>
      <c r="K477" s="4"/>
      <c r="L477" s="68" t="b">
        <v>0</v>
      </c>
      <c r="M477" s="68" t="b">
        <v>0</v>
      </c>
      <c r="N477" s="67" t="b">
        <v>0</v>
      </c>
      <c r="O477" s="68" t="b">
        <v>0</v>
      </c>
      <c r="P477" s="66" t="b">
        <v>0</v>
      </c>
      <c r="Q477" s="67" t="b">
        <v>0</v>
      </c>
      <c r="R477" s="68" t="b">
        <v>0</v>
      </c>
      <c r="S477" s="4" t="s">
        <v>119</v>
      </c>
    </row>
    <row r="478" spans="1:24" ht="12.5">
      <c r="A478" s="4" t="s">
        <v>381</v>
      </c>
      <c r="B478" s="4"/>
      <c r="C478" s="4" t="s">
        <v>1407</v>
      </c>
      <c r="D478" s="4" t="s">
        <v>1408</v>
      </c>
      <c r="E478" s="22">
        <v>989442538</v>
      </c>
      <c r="F478" s="4" t="s">
        <v>1150</v>
      </c>
      <c r="G478" s="32">
        <v>45951</v>
      </c>
      <c r="H478" s="4" t="s">
        <v>856</v>
      </c>
      <c r="I478" s="4" t="s">
        <v>459</v>
      </c>
      <c r="J478" s="68" t="b">
        <v>0</v>
      </c>
      <c r="K478" s="67" t="b">
        <v>1</v>
      </c>
      <c r="L478" s="68" t="b">
        <v>0</v>
      </c>
      <c r="M478" s="68" t="b">
        <v>0</v>
      </c>
      <c r="N478" s="67" t="b">
        <v>0</v>
      </c>
      <c r="O478" s="68" t="b">
        <v>0</v>
      </c>
      <c r="P478" s="66" t="b">
        <v>0</v>
      </c>
      <c r="Q478" s="67" t="b">
        <v>0</v>
      </c>
      <c r="R478" s="68" t="b">
        <v>0</v>
      </c>
      <c r="S478" s="4"/>
    </row>
    <row r="479" spans="1:24" ht="12.5">
      <c r="A479" s="4" t="s">
        <v>5</v>
      </c>
      <c r="B479" s="4"/>
      <c r="C479" s="4" t="s">
        <v>1409</v>
      </c>
      <c r="D479" s="4" t="s">
        <v>146</v>
      </c>
      <c r="E479" s="22">
        <v>50689475665</v>
      </c>
      <c r="F479" s="4" t="s">
        <v>140</v>
      </c>
      <c r="G479" s="32">
        <v>45952</v>
      </c>
      <c r="H479" s="4" t="s">
        <v>856</v>
      </c>
      <c r="I479" s="4" t="s">
        <v>448</v>
      </c>
      <c r="J479" s="68" t="b">
        <v>1</v>
      </c>
      <c r="K479" s="67" t="b">
        <v>1</v>
      </c>
      <c r="L479" s="68" t="b">
        <v>0</v>
      </c>
      <c r="M479" s="68" t="b">
        <v>1</v>
      </c>
      <c r="N479" s="67" t="b">
        <v>0</v>
      </c>
      <c r="O479" s="68" t="b">
        <v>0</v>
      </c>
      <c r="P479" s="66" t="b">
        <v>0</v>
      </c>
      <c r="Q479" s="67" t="b">
        <v>0</v>
      </c>
      <c r="R479" s="68" t="b">
        <v>0</v>
      </c>
      <c r="S479" s="4" t="s">
        <v>119</v>
      </c>
      <c r="T479" s="18">
        <v>45961</v>
      </c>
      <c r="U479" s="6">
        <v>85</v>
      </c>
      <c r="V479" s="7">
        <v>0.15</v>
      </c>
      <c r="W479" s="4">
        <v>0</v>
      </c>
      <c r="X479" s="8">
        <v>45658</v>
      </c>
    </row>
    <row r="480" spans="1:24" ht="12.5">
      <c r="A480" s="4" t="s">
        <v>5</v>
      </c>
      <c r="B480" s="4"/>
      <c r="C480" s="4" t="s">
        <v>1410</v>
      </c>
      <c r="D480" s="4" t="s">
        <v>1411</v>
      </c>
      <c r="E480" s="22">
        <v>34675409564</v>
      </c>
      <c r="F480" s="4" t="s">
        <v>52</v>
      </c>
      <c r="G480" s="32">
        <v>45952</v>
      </c>
      <c r="H480" s="4" t="s">
        <v>856</v>
      </c>
      <c r="I480" s="4" t="s">
        <v>459</v>
      </c>
      <c r="J480" s="68" t="b">
        <v>0</v>
      </c>
      <c r="K480" s="67" t="b">
        <v>1</v>
      </c>
      <c r="L480" s="68" t="b">
        <v>0</v>
      </c>
      <c r="M480" s="68" t="b">
        <v>0</v>
      </c>
      <c r="N480" s="67" t="b">
        <v>1</v>
      </c>
      <c r="O480" s="68" t="b">
        <v>0</v>
      </c>
      <c r="P480" s="66" t="b">
        <v>0</v>
      </c>
      <c r="Q480" s="67" t="b">
        <v>0</v>
      </c>
      <c r="R480" s="68" t="b">
        <v>0</v>
      </c>
      <c r="S480" s="4" t="s">
        <v>119</v>
      </c>
    </row>
    <row r="481" spans="1:24" ht="12.5">
      <c r="A481" s="4" t="s">
        <v>5</v>
      </c>
      <c r="B481" s="4"/>
      <c r="C481" s="4" t="s">
        <v>147</v>
      </c>
      <c r="D481" s="4" t="s">
        <v>148</v>
      </c>
      <c r="E481" s="22">
        <v>34655117156</v>
      </c>
      <c r="F481" s="4" t="s">
        <v>140</v>
      </c>
      <c r="G481" s="32">
        <v>45952</v>
      </c>
      <c r="H481" s="4" t="s">
        <v>856</v>
      </c>
      <c r="I481" s="4" t="s">
        <v>459</v>
      </c>
      <c r="J481" s="68" t="b">
        <v>1</v>
      </c>
      <c r="K481" s="67" t="b">
        <v>1</v>
      </c>
      <c r="L481" s="68" t="b">
        <v>0</v>
      </c>
      <c r="M481" s="68" t="b">
        <v>0</v>
      </c>
      <c r="N481" s="67" t="b">
        <v>0</v>
      </c>
      <c r="O481" s="68" t="b">
        <v>0</v>
      </c>
      <c r="P481" s="66" t="b">
        <v>0</v>
      </c>
      <c r="Q481" s="67" t="b">
        <v>0</v>
      </c>
      <c r="R481" s="68" t="b">
        <v>0</v>
      </c>
      <c r="S481" s="4" t="s">
        <v>119</v>
      </c>
    </row>
    <row r="482" spans="1:24" ht="12.5">
      <c r="A482" s="4" t="s">
        <v>5</v>
      </c>
      <c r="B482" s="4"/>
      <c r="C482" s="4" t="s">
        <v>124</v>
      </c>
      <c r="D482" s="4" t="s">
        <v>125</v>
      </c>
      <c r="E482" s="22">
        <v>34626591651</v>
      </c>
      <c r="F482" s="4" t="s">
        <v>8</v>
      </c>
      <c r="G482" s="32">
        <v>45952</v>
      </c>
      <c r="H482" s="4" t="s">
        <v>856</v>
      </c>
      <c r="I482" s="4" t="s">
        <v>448</v>
      </c>
      <c r="J482" s="68" t="b">
        <v>1</v>
      </c>
      <c r="K482" s="67" t="b">
        <v>1</v>
      </c>
      <c r="L482" s="68" t="b">
        <v>0</v>
      </c>
      <c r="M482" s="68" t="b">
        <v>0</v>
      </c>
      <c r="N482" s="67" t="b">
        <v>1</v>
      </c>
      <c r="O482" s="68" t="b">
        <v>0</v>
      </c>
      <c r="P482" s="66" t="b">
        <v>0</v>
      </c>
      <c r="Q482" s="67" t="b">
        <v>1</v>
      </c>
      <c r="R482" s="68" t="b">
        <v>0</v>
      </c>
      <c r="S482" s="4" t="s">
        <v>119</v>
      </c>
      <c r="T482" s="18">
        <v>45954</v>
      </c>
      <c r="U482" s="6">
        <v>149.5</v>
      </c>
      <c r="V482" s="7">
        <v>0.5</v>
      </c>
      <c r="W482" s="4">
        <v>0</v>
      </c>
      <c r="X482" s="8">
        <v>45658</v>
      </c>
    </row>
    <row r="483" spans="1:24" ht="12.5">
      <c r="A483" s="4" t="s">
        <v>5</v>
      </c>
      <c r="B483" s="4"/>
      <c r="C483" s="4" t="s">
        <v>1412</v>
      </c>
      <c r="E483" s="4" t="s">
        <v>1413</v>
      </c>
      <c r="F483" s="4" t="s">
        <v>1265</v>
      </c>
      <c r="G483" s="32">
        <v>45952</v>
      </c>
      <c r="H483" s="4" t="s">
        <v>956</v>
      </c>
      <c r="I483" s="4" t="s">
        <v>459</v>
      </c>
      <c r="J483" s="68" t="b">
        <v>1</v>
      </c>
      <c r="K483" s="67" t="b">
        <v>1</v>
      </c>
      <c r="L483" s="68" t="b">
        <v>0</v>
      </c>
      <c r="M483" s="4"/>
      <c r="N483" s="67" t="b">
        <v>0</v>
      </c>
      <c r="O483" s="68" t="b">
        <v>0</v>
      </c>
      <c r="P483" s="66" t="b">
        <v>0</v>
      </c>
      <c r="Q483" s="4"/>
      <c r="R483" s="4"/>
      <c r="S483" s="4" t="s">
        <v>119</v>
      </c>
    </row>
    <row r="484" spans="1:24" ht="12.5">
      <c r="A484" s="4" t="s">
        <v>5</v>
      </c>
      <c r="B484" s="4"/>
      <c r="C484" s="4" t="s">
        <v>1410</v>
      </c>
      <c r="E484" s="4" t="s">
        <v>1414</v>
      </c>
      <c r="F484" s="4" t="s">
        <v>1415</v>
      </c>
      <c r="G484" s="32">
        <v>45952</v>
      </c>
      <c r="H484" s="4" t="s">
        <v>956</v>
      </c>
      <c r="I484" s="4" t="s">
        <v>459</v>
      </c>
      <c r="J484" s="68" t="b">
        <v>1</v>
      </c>
      <c r="K484" s="67" t="b">
        <v>1</v>
      </c>
      <c r="L484" s="68" t="b">
        <v>0</v>
      </c>
      <c r="M484" s="4"/>
      <c r="N484" s="67" t="b">
        <v>1</v>
      </c>
      <c r="O484" s="68" t="b">
        <v>0</v>
      </c>
      <c r="P484" s="66" t="b">
        <v>0</v>
      </c>
      <c r="Q484" s="4"/>
      <c r="R484" s="4"/>
      <c r="S484" s="4" t="s">
        <v>119</v>
      </c>
    </row>
    <row r="485" spans="1:24" ht="12.5">
      <c r="A485" s="4" t="s">
        <v>5</v>
      </c>
      <c r="B485" s="4"/>
      <c r="C485" s="4" t="s">
        <v>1416</v>
      </c>
      <c r="D485" s="4" t="s">
        <v>1417</v>
      </c>
      <c r="E485" s="4">
        <v>525548957583</v>
      </c>
      <c r="F485" s="4" t="s">
        <v>938</v>
      </c>
      <c r="G485" s="32">
        <v>45953</v>
      </c>
      <c r="H485" s="4" t="s">
        <v>856</v>
      </c>
      <c r="I485" s="4" t="s">
        <v>459</v>
      </c>
      <c r="J485" s="68" t="b">
        <v>1</v>
      </c>
      <c r="K485" s="67" t="b">
        <v>1</v>
      </c>
      <c r="L485" s="68" t="b">
        <v>0</v>
      </c>
      <c r="N485" s="67" t="b">
        <v>1</v>
      </c>
      <c r="O485" s="68" t="b">
        <v>0</v>
      </c>
      <c r="P485" s="66" t="b">
        <v>0</v>
      </c>
      <c r="S485" s="4" t="s">
        <v>119</v>
      </c>
    </row>
    <row r="486" spans="1:24" ht="12.5">
      <c r="A486" s="4" t="s">
        <v>5</v>
      </c>
      <c r="B486" s="4"/>
      <c r="C486" s="4" t="s">
        <v>1418</v>
      </c>
      <c r="D486" s="4" t="s">
        <v>1419</v>
      </c>
      <c r="E486" s="4">
        <v>34626404615</v>
      </c>
      <c r="F486" s="4" t="s">
        <v>8</v>
      </c>
      <c r="G486" s="32">
        <v>45953</v>
      </c>
      <c r="H486" s="4" t="s">
        <v>856</v>
      </c>
      <c r="I486" s="4" t="s">
        <v>459</v>
      </c>
      <c r="J486" s="68" t="b">
        <v>1</v>
      </c>
      <c r="K486" s="67" t="b">
        <v>1</v>
      </c>
      <c r="L486" s="68" t="b">
        <v>0</v>
      </c>
      <c r="N486" s="67" t="b">
        <v>0</v>
      </c>
      <c r="O486" s="68" t="b">
        <v>0</v>
      </c>
      <c r="P486" s="66" t="b">
        <v>0</v>
      </c>
      <c r="S486" s="4" t="s">
        <v>119</v>
      </c>
    </row>
    <row r="487" spans="1:24" ht="12.5">
      <c r="A487" s="4" t="s">
        <v>5</v>
      </c>
      <c r="B487" s="4"/>
      <c r="C487" s="4" t="s">
        <v>1420</v>
      </c>
      <c r="D487" s="4" t="s">
        <v>1421</v>
      </c>
      <c r="E487" s="4">
        <v>34644540662</v>
      </c>
      <c r="F487" s="4" t="s">
        <v>8</v>
      </c>
      <c r="G487" s="32">
        <v>45953</v>
      </c>
      <c r="H487" s="4" t="s">
        <v>856</v>
      </c>
      <c r="I487" s="4" t="s">
        <v>459</v>
      </c>
      <c r="J487" s="68" t="b">
        <v>1</v>
      </c>
      <c r="K487" s="67" t="b">
        <v>1</v>
      </c>
      <c r="L487" s="68" t="b">
        <v>0</v>
      </c>
      <c r="N487" s="67" t="b">
        <v>0</v>
      </c>
      <c r="O487" s="68" t="b">
        <v>0</v>
      </c>
      <c r="P487" s="66" t="b">
        <v>0</v>
      </c>
      <c r="S487" s="4" t="s">
        <v>119</v>
      </c>
    </row>
    <row r="488" spans="1:24" ht="14">
      <c r="B488" s="4"/>
      <c r="C488" s="4" t="s">
        <v>1422</v>
      </c>
      <c r="E488" s="4" t="s">
        <v>1423</v>
      </c>
      <c r="F488" s="4" t="s">
        <v>1302</v>
      </c>
      <c r="G488" s="32">
        <v>45953</v>
      </c>
      <c r="H488" s="4" t="s">
        <v>956</v>
      </c>
      <c r="I488" s="4" t="s">
        <v>459</v>
      </c>
      <c r="J488" s="68" t="b">
        <v>0</v>
      </c>
      <c r="K488" s="67" t="b">
        <v>1</v>
      </c>
      <c r="L488" s="68" t="b">
        <v>0</v>
      </c>
      <c r="M488" s="4"/>
      <c r="N488" s="67" t="b">
        <v>1</v>
      </c>
      <c r="O488" s="4"/>
      <c r="P488" s="4"/>
      <c r="Q488" s="4"/>
      <c r="R488" s="4"/>
      <c r="S488" s="23" t="s">
        <v>119</v>
      </c>
    </row>
    <row r="489" spans="1:24" ht="12.5">
      <c r="A489" s="4" t="s">
        <v>5</v>
      </c>
      <c r="B489" s="4"/>
      <c r="C489" s="4" t="s">
        <v>1424</v>
      </c>
      <c r="D489" s="4" t="s">
        <v>131</v>
      </c>
      <c r="E489" s="4">
        <v>543814169201</v>
      </c>
      <c r="F489" s="4" t="s">
        <v>71</v>
      </c>
      <c r="G489" s="32">
        <v>45953</v>
      </c>
      <c r="H489" s="4" t="s">
        <v>856</v>
      </c>
      <c r="I489" s="4" t="s">
        <v>459</v>
      </c>
      <c r="J489" s="68" t="b">
        <v>1</v>
      </c>
      <c r="K489" s="67" t="b">
        <v>1</v>
      </c>
      <c r="L489" s="68" t="b">
        <v>0</v>
      </c>
      <c r="N489" s="67" t="b">
        <v>0</v>
      </c>
      <c r="S489" s="4" t="s">
        <v>34</v>
      </c>
    </row>
    <row r="490" spans="1:24" ht="12.5">
      <c r="A490" s="4" t="s">
        <v>5</v>
      </c>
      <c r="B490" s="4"/>
      <c r="C490" s="4" t="s">
        <v>1425</v>
      </c>
      <c r="E490" s="4">
        <v>56953668677</v>
      </c>
      <c r="F490" s="4" t="s">
        <v>102</v>
      </c>
      <c r="G490" s="22" t="s">
        <v>1426</v>
      </c>
      <c r="H490" s="4" t="s">
        <v>956</v>
      </c>
      <c r="I490" s="4" t="s">
        <v>459</v>
      </c>
      <c r="J490" s="68" t="b">
        <v>1</v>
      </c>
      <c r="K490" s="67" t="b">
        <v>1</v>
      </c>
      <c r="L490" s="68" t="b">
        <v>0</v>
      </c>
      <c r="M490" s="4"/>
      <c r="N490" s="67" t="b">
        <v>1</v>
      </c>
      <c r="O490" s="4"/>
      <c r="P490" s="4"/>
      <c r="Q490" s="4"/>
      <c r="R490" s="4"/>
      <c r="S490" s="4" t="s">
        <v>119</v>
      </c>
    </row>
    <row r="491" spans="1:24" ht="12.5">
      <c r="A491" s="4" t="s">
        <v>5</v>
      </c>
      <c r="B491" s="4"/>
      <c r="C491" s="4" t="s">
        <v>126</v>
      </c>
      <c r="D491" s="4" t="s">
        <v>127</v>
      </c>
      <c r="E491" s="4">
        <v>18094679863</v>
      </c>
      <c r="F491" s="4" t="s">
        <v>129</v>
      </c>
      <c r="G491" s="32">
        <v>45954</v>
      </c>
      <c r="H491" s="4" t="s">
        <v>956</v>
      </c>
      <c r="I491" s="4" t="s">
        <v>448</v>
      </c>
      <c r="J491" s="68" t="b">
        <v>1</v>
      </c>
      <c r="K491" s="67" t="b">
        <v>0</v>
      </c>
      <c r="S491" s="4" t="s">
        <v>119</v>
      </c>
      <c r="T491" s="18">
        <v>45954</v>
      </c>
      <c r="U491" s="6">
        <v>437.5</v>
      </c>
      <c r="V491" s="7">
        <v>0.5</v>
      </c>
      <c r="W491" s="4">
        <v>0</v>
      </c>
      <c r="X491" s="8">
        <v>45658</v>
      </c>
    </row>
    <row r="492" spans="1:24" ht="12.5">
      <c r="A492" s="4" t="s">
        <v>5</v>
      </c>
      <c r="B492" s="4"/>
      <c r="C492" s="4" t="s">
        <v>126</v>
      </c>
      <c r="D492" s="4" t="s">
        <v>127</v>
      </c>
      <c r="E492" s="4">
        <v>18094679863</v>
      </c>
      <c r="F492" s="4" t="s">
        <v>128</v>
      </c>
      <c r="G492" s="32">
        <v>45954</v>
      </c>
      <c r="H492" s="4" t="s">
        <v>956</v>
      </c>
      <c r="I492" s="4" t="s">
        <v>448</v>
      </c>
      <c r="J492" s="68" t="b">
        <v>1</v>
      </c>
      <c r="K492" s="67" t="b">
        <v>0</v>
      </c>
      <c r="L492" s="4"/>
      <c r="M492" s="4"/>
      <c r="N492" s="4"/>
      <c r="O492" s="4"/>
      <c r="P492" s="4"/>
      <c r="Q492" s="4"/>
      <c r="R492" s="4"/>
      <c r="S492" s="4" t="s">
        <v>119</v>
      </c>
      <c r="T492" s="18">
        <v>45954</v>
      </c>
      <c r="U492" s="6">
        <v>199</v>
      </c>
      <c r="V492" s="7">
        <v>0.5</v>
      </c>
      <c r="W492" s="4">
        <v>0</v>
      </c>
      <c r="X492" s="8">
        <v>45658</v>
      </c>
    </row>
    <row r="493" spans="1:24" ht="12.5">
      <c r="A493" s="4" t="s">
        <v>5</v>
      </c>
      <c r="B493" s="4"/>
      <c r="C493" s="4" t="s">
        <v>130</v>
      </c>
      <c r="D493" s="4" t="s">
        <v>131</v>
      </c>
      <c r="E493" s="4">
        <v>549384169201</v>
      </c>
      <c r="F493" s="4" t="s">
        <v>132</v>
      </c>
      <c r="G493" s="32">
        <v>45954</v>
      </c>
      <c r="H493" s="4" t="s">
        <v>956</v>
      </c>
      <c r="I493" s="4" t="s">
        <v>448</v>
      </c>
      <c r="J493" s="68" t="b">
        <v>1</v>
      </c>
      <c r="K493" s="67" t="b">
        <v>0</v>
      </c>
      <c r="L493" s="4"/>
      <c r="M493" s="4"/>
      <c r="N493" s="4"/>
      <c r="O493" s="4"/>
      <c r="P493" s="4"/>
      <c r="Q493" s="4"/>
      <c r="R493" s="4"/>
      <c r="S493" s="4" t="s">
        <v>119</v>
      </c>
      <c r="T493" s="18">
        <v>45954</v>
      </c>
      <c r="U493" s="6">
        <v>145</v>
      </c>
      <c r="V493" s="7">
        <v>0.5</v>
      </c>
      <c r="W493" s="4">
        <v>0</v>
      </c>
      <c r="X493" s="8">
        <v>45658</v>
      </c>
    </row>
    <row r="494" spans="1:24" ht="14">
      <c r="A494" s="4" t="s">
        <v>5</v>
      </c>
      <c r="B494" s="4"/>
      <c r="C494" s="4" t="s">
        <v>133</v>
      </c>
      <c r="D494" s="21" t="s">
        <v>134</v>
      </c>
      <c r="E494" s="4">
        <v>18186973540</v>
      </c>
      <c r="F494" s="4" t="s">
        <v>135</v>
      </c>
      <c r="G494" s="32">
        <v>45954</v>
      </c>
      <c r="H494" s="4" t="s">
        <v>956</v>
      </c>
      <c r="I494" s="4" t="s">
        <v>448</v>
      </c>
      <c r="J494" s="68" t="b">
        <v>1</v>
      </c>
      <c r="K494" s="67" t="b">
        <v>0</v>
      </c>
      <c r="L494" s="4"/>
      <c r="M494" s="4"/>
      <c r="N494" s="4"/>
      <c r="O494" s="4"/>
      <c r="P494" s="4"/>
      <c r="Q494" s="4"/>
      <c r="R494" s="4"/>
      <c r="S494" s="4" t="s">
        <v>119</v>
      </c>
      <c r="T494" s="18">
        <v>45954</v>
      </c>
      <c r="U494" s="6">
        <v>80</v>
      </c>
      <c r="V494" s="7">
        <v>0.5</v>
      </c>
      <c r="W494" s="4">
        <v>0</v>
      </c>
      <c r="X494" s="8">
        <v>45658</v>
      </c>
    </row>
    <row r="495" spans="1:24" ht="14">
      <c r="A495" s="4" t="s">
        <v>5</v>
      </c>
      <c r="B495" s="4"/>
      <c r="C495" s="4" t="s">
        <v>136</v>
      </c>
      <c r="D495" s="21" t="s">
        <v>137</v>
      </c>
      <c r="E495" s="4">
        <v>34630077518</v>
      </c>
      <c r="F495" s="4" t="s">
        <v>40</v>
      </c>
      <c r="G495" s="32">
        <v>45955</v>
      </c>
      <c r="H495" s="4" t="s">
        <v>856</v>
      </c>
      <c r="I495" s="23" t="s">
        <v>448</v>
      </c>
      <c r="J495" s="68" t="b">
        <v>1</v>
      </c>
      <c r="K495" s="67" t="b">
        <v>1</v>
      </c>
      <c r="L495" s="68" t="b">
        <v>0</v>
      </c>
      <c r="S495" s="4" t="s">
        <v>119</v>
      </c>
      <c r="T495" s="86">
        <v>45955</v>
      </c>
      <c r="U495" s="25">
        <v>48.33</v>
      </c>
      <c r="V495" s="26">
        <v>0.5</v>
      </c>
      <c r="W495" s="23">
        <v>3</v>
      </c>
      <c r="X495" s="27">
        <v>45717</v>
      </c>
    </row>
    <row r="496" spans="1:24" ht="14">
      <c r="A496" s="4" t="s">
        <v>5</v>
      </c>
      <c r="B496" s="4"/>
      <c r="C496" s="4" t="s">
        <v>141</v>
      </c>
      <c r="D496" s="21" t="s">
        <v>142</v>
      </c>
      <c r="E496" s="4">
        <v>34659760639</v>
      </c>
      <c r="F496" s="4" t="s">
        <v>8</v>
      </c>
      <c r="G496" s="32">
        <v>45956</v>
      </c>
      <c r="H496" s="4" t="s">
        <v>856</v>
      </c>
      <c r="I496" s="23" t="s">
        <v>448</v>
      </c>
      <c r="J496" s="68" t="b">
        <v>1</v>
      </c>
      <c r="K496" s="67" t="b">
        <v>1</v>
      </c>
      <c r="L496" s="68" t="b">
        <v>0</v>
      </c>
      <c r="S496" s="23" t="s">
        <v>119</v>
      </c>
      <c r="T496" s="86">
        <v>45958</v>
      </c>
      <c r="U496" s="25">
        <v>150</v>
      </c>
      <c r="V496" s="26">
        <v>0.5</v>
      </c>
      <c r="W496" s="23">
        <v>1</v>
      </c>
      <c r="X496" s="27">
        <v>45658</v>
      </c>
    </row>
    <row r="497" spans="1:24" ht="14">
      <c r="A497" s="4" t="s">
        <v>5</v>
      </c>
      <c r="B497" s="4"/>
      <c r="C497" s="4" t="s">
        <v>1427</v>
      </c>
      <c r="D497" s="21" t="s">
        <v>1428</v>
      </c>
      <c r="E497" s="4">
        <v>34676673113</v>
      </c>
      <c r="F497" s="4" t="s">
        <v>8</v>
      </c>
      <c r="G497" s="32">
        <v>45956</v>
      </c>
      <c r="H497" s="4" t="s">
        <v>856</v>
      </c>
      <c r="I497" s="23" t="s">
        <v>886</v>
      </c>
      <c r="J497" s="68" t="b">
        <v>1</v>
      </c>
      <c r="K497" s="67" t="b">
        <v>1</v>
      </c>
      <c r="L497" s="68" t="b">
        <v>0</v>
      </c>
      <c r="S497" s="23" t="s">
        <v>119</v>
      </c>
      <c r="T497" s="18"/>
      <c r="U497" s="6"/>
      <c r="V497" s="7"/>
      <c r="W497" s="4"/>
      <c r="X497" s="8"/>
    </row>
    <row r="498" spans="1:24" ht="14">
      <c r="A498" s="4" t="s">
        <v>381</v>
      </c>
      <c r="B498" s="4"/>
      <c r="C498" s="4" t="s">
        <v>1429</v>
      </c>
      <c r="D498" s="21" t="s">
        <v>457</v>
      </c>
      <c r="E498" s="4">
        <v>34678678678</v>
      </c>
      <c r="F498" s="4" t="s">
        <v>1430</v>
      </c>
      <c r="G498" s="87">
        <v>45956</v>
      </c>
      <c r="H498" s="4" t="s">
        <v>856</v>
      </c>
      <c r="I498" s="4" t="s">
        <v>1431</v>
      </c>
      <c r="J498" s="68" t="b">
        <v>0</v>
      </c>
      <c r="K498" s="67" t="b">
        <v>0</v>
      </c>
      <c r="L498" s="68" t="b">
        <v>0</v>
      </c>
      <c r="S498" s="23" t="s">
        <v>119</v>
      </c>
      <c r="T498" s="18"/>
      <c r="U498" s="6"/>
      <c r="V498" s="7"/>
      <c r="W498" s="4"/>
      <c r="X498" s="8"/>
    </row>
    <row r="499" spans="1:24" ht="14">
      <c r="A499" s="4" t="s">
        <v>5</v>
      </c>
      <c r="B499" s="4"/>
      <c r="C499" s="4" t="s">
        <v>138</v>
      </c>
      <c r="D499" s="21" t="s">
        <v>139</v>
      </c>
      <c r="E499" s="4">
        <v>34646451222</v>
      </c>
      <c r="F499" s="4" t="s">
        <v>140</v>
      </c>
      <c r="G499" s="32">
        <v>45956</v>
      </c>
      <c r="H499" s="4" t="s">
        <v>856</v>
      </c>
      <c r="I499" s="4" t="s">
        <v>448</v>
      </c>
      <c r="J499" s="68" t="b">
        <v>1</v>
      </c>
      <c r="K499" s="67" t="b">
        <v>1</v>
      </c>
      <c r="S499" s="23" t="s">
        <v>119</v>
      </c>
      <c r="T499" s="86">
        <v>45958</v>
      </c>
      <c r="U499" s="25">
        <v>79</v>
      </c>
      <c r="V499" s="26">
        <v>0.2</v>
      </c>
      <c r="W499" s="23">
        <v>1</v>
      </c>
      <c r="X499" s="27">
        <v>45658</v>
      </c>
    </row>
    <row r="500" spans="1:24" ht="14">
      <c r="A500" s="4" t="s">
        <v>5</v>
      </c>
      <c r="B500" s="4"/>
      <c r="C500" s="4" t="s">
        <v>1432</v>
      </c>
      <c r="E500" s="4">
        <v>524611097018</v>
      </c>
      <c r="F500" s="4" t="s">
        <v>1433</v>
      </c>
      <c r="G500" s="32">
        <v>45956</v>
      </c>
      <c r="H500" s="4" t="s">
        <v>956</v>
      </c>
      <c r="I500" s="4" t="s">
        <v>459</v>
      </c>
      <c r="J500" s="68" t="b">
        <v>0</v>
      </c>
      <c r="K500" s="67" t="b">
        <v>1</v>
      </c>
      <c r="L500" s="68" t="b">
        <v>0</v>
      </c>
      <c r="M500" s="4"/>
      <c r="N500" s="4"/>
      <c r="O500" s="4"/>
      <c r="P500" s="4"/>
      <c r="Q500" s="4"/>
      <c r="R500" s="4"/>
      <c r="S500" s="23" t="s">
        <v>119</v>
      </c>
    </row>
    <row r="501" spans="1:24" ht="14">
      <c r="A501" s="4" t="s">
        <v>5</v>
      </c>
      <c r="B501" s="4"/>
      <c r="C501" s="4" t="s">
        <v>1434</v>
      </c>
      <c r="E501" s="4">
        <v>584242795428</v>
      </c>
      <c r="F501" s="4" t="s">
        <v>1435</v>
      </c>
      <c r="G501" s="32">
        <v>45956</v>
      </c>
      <c r="H501" s="4" t="s">
        <v>956</v>
      </c>
      <c r="I501" s="4" t="s">
        <v>459</v>
      </c>
      <c r="J501" s="68" t="b">
        <v>0</v>
      </c>
      <c r="K501" s="67" t="b">
        <v>0</v>
      </c>
      <c r="L501" s="68" t="b">
        <v>0</v>
      </c>
      <c r="M501" s="4"/>
      <c r="N501" s="4"/>
      <c r="O501" s="4"/>
      <c r="P501" s="4"/>
      <c r="Q501" s="4"/>
      <c r="R501" s="4"/>
      <c r="S501" s="23" t="s">
        <v>119</v>
      </c>
    </row>
    <row r="502" spans="1:24" ht="14">
      <c r="A502" s="4" t="s">
        <v>5</v>
      </c>
      <c r="B502" s="4"/>
      <c r="C502" s="4" t="s">
        <v>1436</v>
      </c>
      <c r="D502" s="4" t="s">
        <v>178</v>
      </c>
      <c r="E502" s="4">
        <v>4915206055309</v>
      </c>
      <c r="F502" s="4" t="s">
        <v>52</v>
      </c>
      <c r="G502" s="32">
        <v>45957</v>
      </c>
      <c r="H502" s="4" t="s">
        <v>856</v>
      </c>
      <c r="I502" s="4" t="s">
        <v>448</v>
      </c>
      <c r="J502" s="68" t="b">
        <v>0</v>
      </c>
      <c r="K502" s="67" t="b">
        <v>1</v>
      </c>
      <c r="L502" s="68" t="b">
        <v>0</v>
      </c>
      <c r="M502" s="68" t="b">
        <v>1</v>
      </c>
      <c r="N502" s="67" t="b">
        <v>1</v>
      </c>
      <c r="O502" s="68" t="b">
        <v>0</v>
      </c>
      <c r="P502" s="68" t="b">
        <v>0</v>
      </c>
      <c r="Q502" s="67" t="b">
        <v>1</v>
      </c>
      <c r="S502" s="23" t="s">
        <v>119</v>
      </c>
      <c r="T502" s="18">
        <v>45973</v>
      </c>
      <c r="U502" s="6">
        <v>98</v>
      </c>
      <c r="V502" s="7">
        <v>0.3</v>
      </c>
      <c r="W502" s="4">
        <v>1</v>
      </c>
      <c r="X502" s="8">
        <v>45658</v>
      </c>
    </row>
    <row r="503" spans="1:24" ht="14">
      <c r="A503" s="4" t="s">
        <v>5</v>
      </c>
      <c r="B503" s="4"/>
      <c r="C503" s="4" t="s">
        <v>1437</v>
      </c>
      <c r="D503" s="4" t="s">
        <v>1438</v>
      </c>
      <c r="E503" s="4">
        <v>34625982962</v>
      </c>
      <c r="F503" s="4" t="s">
        <v>24</v>
      </c>
      <c r="G503" s="32">
        <v>45958</v>
      </c>
      <c r="H503" s="4" t="s">
        <v>856</v>
      </c>
      <c r="I503" s="4" t="s">
        <v>459</v>
      </c>
      <c r="J503" s="68" t="b">
        <v>1</v>
      </c>
      <c r="K503" s="67" t="b">
        <v>1</v>
      </c>
      <c r="L503" s="68" t="b">
        <v>0</v>
      </c>
      <c r="M503" s="68" t="b">
        <v>0</v>
      </c>
      <c r="S503" s="23" t="s">
        <v>119</v>
      </c>
    </row>
    <row r="504" spans="1:24" ht="14">
      <c r="A504" s="4" t="s">
        <v>5</v>
      </c>
      <c r="B504" s="4"/>
      <c r="C504" s="4" t="s">
        <v>1439</v>
      </c>
      <c r="D504" s="4" t="s">
        <v>1440</v>
      </c>
      <c r="E504" s="4">
        <v>34667559592</v>
      </c>
      <c r="F504" s="4" t="s">
        <v>792</v>
      </c>
      <c r="G504" s="32">
        <v>45958</v>
      </c>
      <c r="H504" s="4" t="s">
        <v>856</v>
      </c>
      <c r="I504" s="4" t="s">
        <v>459</v>
      </c>
      <c r="J504" s="68" t="b">
        <v>1</v>
      </c>
      <c r="K504" s="67" t="b">
        <v>1</v>
      </c>
      <c r="L504" s="68" t="b">
        <v>0</v>
      </c>
      <c r="M504" s="68" t="b">
        <v>0</v>
      </c>
      <c r="S504" s="23" t="s">
        <v>119</v>
      </c>
    </row>
    <row r="505" spans="1:24" ht="14">
      <c r="A505" s="4" t="s">
        <v>5</v>
      </c>
      <c r="B505" s="4"/>
      <c r="C505" s="4" t="s">
        <v>144</v>
      </c>
      <c r="E505" s="4" t="s">
        <v>145</v>
      </c>
      <c r="F505" s="4" t="s">
        <v>56</v>
      </c>
      <c r="G505" s="32">
        <v>45958</v>
      </c>
      <c r="H505" s="4" t="s">
        <v>956</v>
      </c>
      <c r="I505" s="23" t="s">
        <v>448</v>
      </c>
      <c r="J505" s="68" t="b">
        <v>1</v>
      </c>
      <c r="K505" s="67" t="b">
        <v>1</v>
      </c>
      <c r="L505" s="68" t="b">
        <v>0</v>
      </c>
      <c r="M505" s="68" t="b">
        <v>0</v>
      </c>
      <c r="N505" s="67" t="b">
        <v>1</v>
      </c>
      <c r="O505" s="4"/>
      <c r="P505" s="4"/>
      <c r="Q505" s="4"/>
      <c r="R505" s="4"/>
      <c r="S505" s="23" t="s">
        <v>119</v>
      </c>
      <c r="T505" s="86">
        <v>45959</v>
      </c>
      <c r="U505" s="25">
        <v>75</v>
      </c>
      <c r="V505" s="26">
        <v>0.2</v>
      </c>
      <c r="W505" s="23">
        <v>1</v>
      </c>
      <c r="X505" s="27">
        <v>45658</v>
      </c>
    </row>
    <row r="506" spans="1:24" ht="14">
      <c r="A506" s="4" t="s">
        <v>5</v>
      </c>
      <c r="B506" s="4"/>
      <c r="C506" s="4" t="s">
        <v>1441</v>
      </c>
      <c r="D506" s="4" t="s">
        <v>1442</v>
      </c>
      <c r="E506" s="4">
        <v>34690212704</v>
      </c>
      <c r="F506" s="23" t="s">
        <v>1147</v>
      </c>
      <c r="G506" s="32">
        <v>45958</v>
      </c>
      <c r="H506" s="4" t="s">
        <v>856</v>
      </c>
      <c r="I506" s="4" t="s">
        <v>459</v>
      </c>
      <c r="J506" s="68" t="b">
        <v>1</v>
      </c>
      <c r="K506" s="67" t="b">
        <v>1</v>
      </c>
      <c r="L506" s="68" t="b">
        <v>0</v>
      </c>
      <c r="M506" s="68" t="b">
        <v>0</v>
      </c>
      <c r="N506" s="67" t="b">
        <v>1</v>
      </c>
      <c r="S506" s="23" t="s">
        <v>119</v>
      </c>
    </row>
    <row r="507" spans="1:24" ht="14">
      <c r="A507" s="4" t="s">
        <v>5</v>
      </c>
      <c r="B507" s="4"/>
      <c r="C507" s="4" t="s">
        <v>1443</v>
      </c>
      <c r="D507" s="4" t="s">
        <v>1444</v>
      </c>
      <c r="E507" s="4">
        <v>34635201802</v>
      </c>
      <c r="F507" s="4" t="s">
        <v>111</v>
      </c>
      <c r="G507" s="32">
        <v>45958</v>
      </c>
      <c r="H507" s="4" t="s">
        <v>856</v>
      </c>
      <c r="I507" s="23" t="s">
        <v>886</v>
      </c>
      <c r="J507" s="68" t="b">
        <v>1</v>
      </c>
      <c r="K507" s="67" t="b">
        <v>1</v>
      </c>
      <c r="L507" s="68" t="b">
        <v>0</v>
      </c>
      <c r="M507" s="68" t="b">
        <v>0</v>
      </c>
      <c r="N507" s="67" t="b">
        <v>1</v>
      </c>
      <c r="S507" s="23" t="s">
        <v>119</v>
      </c>
    </row>
    <row r="508" spans="1:24" ht="14">
      <c r="A508" s="4" t="s">
        <v>5</v>
      </c>
      <c r="B508" s="4"/>
      <c r="C508" s="4" t="s">
        <v>1445</v>
      </c>
      <c r="D508" s="4" t="s">
        <v>1446</v>
      </c>
      <c r="E508" s="4">
        <v>56989494745</v>
      </c>
      <c r="F508" s="4" t="s">
        <v>24</v>
      </c>
      <c r="G508" s="32">
        <v>45958</v>
      </c>
      <c r="H508" s="4" t="s">
        <v>856</v>
      </c>
      <c r="I508" s="23" t="s">
        <v>974</v>
      </c>
      <c r="J508" s="68" t="b">
        <v>1</v>
      </c>
      <c r="K508" s="67" t="b">
        <v>1</v>
      </c>
      <c r="L508" s="68" t="b">
        <v>0</v>
      </c>
      <c r="M508" s="68" t="b">
        <v>1</v>
      </c>
      <c r="N508" s="67" t="b">
        <v>1</v>
      </c>
      <c r="S508" s="23" t="s">
        <v>119</v>
      </c>
    </row>
    <row r="509" spans="1:24" ht="14">
      <c r="A509" s="4" t="s">
        <v>5</v>
      </c>
      <c r="B509" s="4"/>
      <c r="C509" s="4" t="s">
        <v>1447</v>
      </c>
      <c r="D509" s="4" t="s">
        <v>1448</v>
      </c>
      <c r="E509" s="4">
        <v>525543551361</v>
      </c>
      <c r="F509" s="4" t="s">
        <v>354</v>
      </c>
      <c r="G509" s="32">
        <v>45959</v>
      </c>
      <c r="H509" s="4" t="s">
        <v>856</v>
      </c>
      <c r="I509" s="23" t="s">
        <v>459</v>
      </c>
      <c r="J509" s="68" t="b">
        <v>1</v>
      </c>
      <c r="K509" s="67" t="b">
        <v>1</v>
      </c>
      <c r="L509" s="68" t="b">
        <v>0</v>
      </c>
      <c r="M509" s="68" t="b">
        <v>0</v>
      </c>
      <c r="S509" s="23" t="s">
        <v>119</v>
      </c>
    </row>
    <row r="510" spans="1:24" ht="14">
      <c r="A510" s="4" t="s">
        <v>5</v>
      </c>
      <c r="B510" s="4"/>
      <c r="C510" s="4" t="s">
        <v>1449</v>
      </c>
      <c r="D510" s="4" t="s">
        <v>1450</v>
      </c>
      <c r="E510" s="4">
        <v>34614113964</v>
      </c>
      <c r="F510" s="4" t="s">
        <v>8</v>
      </c>
      <c r="G510" s="32">
        <v>45959</v>
      </c>
      <c r="H510" s="4" t="s">
        <v>856</v>
      </c>
      <c r="I510" s="23" t="s">
        <v>459</v>
      </c>
      <c r="J510" s="68" t="b">
        <v>1</v>
      </c>
      <c r="K510" s="67" t="b">
        <v>1</v>
      </c>
      <c r="L510" s="68" t="b">
        <v>0</v>
      </c>
      <c r="M510" s="68" t="b">
        <v>0</v>
      </c>
      <c r="S510" s="23" t="s">
        <v>119</v>
      </c>
    </row>
    <row r="511" spans="1:24" ht="14">
      <c r="A511" s="4" t="s">
        <v>5</v>
      </c>
      <c r="B511" s="4"/>
      <c r="C511" s="4" t="s">
        <v>1451</v>
      </c>
      <c r="D511" s="4" t="s">
        <v>1452</v>
      </c>
      <c r="E511" s="4">
        <v>34659977447</v>
      </c>
      <c r="F511" s="4" t="s">
        <v>11</v>
      </c>
      <c r="G511" s="32">
        <v>45959</v>
      </c>
      <c r="H511" s="4" t="s">
        <v>856</v>
      </c>
      <c r="I511" s="23" t="s">
        <v>459</v>
      </c>
      <c r="J511" s="68" t="b">
        <v>0</v>
      </c>
      <c r="K511" s="67" t="b">
        <v>0</v>
      </c>
      <c r="L511" s="68" t="b">
        <v>0</v>
      </c>
      <c r="M511" s="68" t="b">
        <v>0</v>
      </c>
      <c r="S511" s="23" t="s">
        <v>119</v>
      </c>
    </row>
    <row r="512" spans="1:24" ht="14">
      <c r="A512" s="4" t="s">
        <v>5</v>
      </c>
      <c r="B512" s="4"/>
      <c r="C512" s="4" t="s">
        <v>1453</v>
      </c>
      <c r="D512" s="4" t="s">
        <v>1454</v>
      </c>
      <c r="E512" s="4">
        <v>34629278618</v>
      </c>
      <c r="F512" s="4" t="s">
        <v>324</v>
      </c>
      <c r="G512" s="32">
        <v>45960</v>
      </c>
      <c r="H512" s="4" t="s">
        <v>856</v>
      </c>
      <c r="I512" s="23" t="s">
        <v>459</v>
      </c>
      <c r="J512" s="68" t="b">
        <v>0</v>
      </c>
      <c r="K512" s="67" t="b">
        <v>0</v>
      </c>
      <c r="L512" s="68" t="b">
        <v>0</v>
      </c>
      <c r="M512" s="68" t="b">
        <v>0</v>
      </c>
      <c r="S512" s="23"/>
    </row>
    <row r="513" spans="1:24" ht="14">
      <c r="A513" s="4" t="s">
        <v>5</v>
      </c>
      <c r="B513" s="4"/>
      <c r="C513" s="4" t="s">
        <v>1455</v>
      </c>
      <c r="D513" s="4" t="s">
        <v>1456</v>
      </c>
      <c r="E513" s="4">
        <v>34666777888</v>
      </c>
      <c r="F513" s="4" t="s">
        <v>1307</v>
      </c>
      <c r="G513" s="32">
        <v>45960</v>
      </c>
      <c r="H513" s="4" t="s">
        <v>856</v>
      </c>
      <c r="I513" s="23" t="s">
        <v>459</v>
      </c>
      <c r="J513" s="68" t="b">
        <v>0</v>
      </c>
      <c r="K513" s="67" t="b">
        <v>0</v>
      </c>
      <c r="L513" s="68" t="b">
        <v>1</v>
      </c>
      <c r="M513" s="68" t="b">
        <v>0</v>
      </c>
      <c r="S513" s="23"/>
    </row>
    <row r="514" spans="1:24" ht="14">
      <c r="A514" s="4" t="s">
        <v>5</v>
      </c>
      <c r="B514" s="4"/>
      <c r="C514" s="4" t="s">
        <v>1455</v>
      </c>
      <c r="D514" s="4" t="s">
        <v>1456</v>
      </c>
      <c r="E514" s="4">
        <v>34666777888</v>
      </c>
      <c r="F514" s="4" t="s">
        <v>1457</v>
      </c>
      <c r="G514" s="32">
        <v>45960</v>
      </c>
      <c r="H514" s="4" t="s">
        <v>856</v>
      </c>
      <c r="I514" s="23" t="s">
        <v>459</v>
      </c>
      <c r="J514" s="68" t="b">
        <v>0</v>
      </c>
      <c r="K514" s="67" t="b">
        <v>0</v>
      </c>
      <c r="L514" s="68" t="b">
        <v>1</v>
      </c>
      <c r="M514" s="68" t="b">
        <v>0</v>
      </c>
      <c r="S514" s="23"/>
    </row>
    <row r="515" spans="1:24" ht="12.5">
      <c r="A515" s="4" t="s">
        <v>5</v>
      </c>
      <c r="B515" s="4"/>
      <c r="C515" s="4" t="s">
        <v>1458</v>
      </c>
      <c r="E515" s="4" t="s">
        <v>1459</v>
      </c>
      <c r="F515" s="4" t="s">
        <v>584</v>
      </c>
      <c r="G515" s="32">
        <v>45960</v>
      </c>
      <c r="I515" s="4" t="s">
        <v>459</v>
      </c>
      <c r="J515" s="68" t="b">
        <v>0</v>
      </c>
      <c r="K515" s="67" t="b">
        <v>1</v>
      </c>
      <c r="L515" s="68" t="b">
        <v>0</v>
      </c>
      <c r="M515" s="68" t="b">
        <v>0</v>
      </c>
      <c r="N515" s="67" t="b">
        <v>1</v>
      </c>
      <c r="O515" s="4"/>
      <c r="P515" s="4"/>
      <c r="Q515" s="4"/>
      <c r="R515" s="4"/>
      <c r="S515" s="8"/>
    </row>
    <row r="516" spans="1:24" ht="12.5">
      <c r="A516" s="4" t="s">
        <v>5</v>
      </c>
      <c r="B516" s="4"/>
      <c r="C516" s="4" t="s">
        <v>1460</v>
      </c>
      <c r="D516" s="4" t="s">
        <v>1461</v>
      </c>
      <c r="E516" s="4">
        <v>34669119852</v>
      </c>
      <c r="F516" s="4" t="s">
        <v>50</v>
      </c>
      <c r="G516" s="32">
        <v>45960</v>
      </c>
      <c r="H516" s="4" t="s">
        <v>856</v>
      </c>
      <c r="I516" s="4" t="s">
        <v>459</v>
      </c>
      <c r="J516" s="68" t="b">
        <v>0</v>
      </c>
      <c r="K516" s="67" t="b">
        <v>1</v>
      </c>
      <c r="L516" s="68" t="b">
        <v>0</v>
      </c>
      <c r="M516" s="68" t="b">
        <v>0</v>
      </c>
      <c r="N516" s="67" t="b">
        <v>1</v>
      </c>
      <c r="S516" s="8"/>
    </row>
    <row r="517" spans="1:24" ht="12.5">
      <c r="A517" s="4" t="s">
        <v>5</v>
      </c>
      <c r="B517" s="4"/>
      <c r="C517" s="4" t="s">
        <v>1462</v>
      </c>
      <c r="D517" s="4" t="s">
        <v>1463</v>
      </c>
      <c r="E517" s="4">
        <v>34639839410</v>
      </c>
      <c r="F517" s="4" t="s">
        <v>385</v>
      </c>
      <c r="G517" s="32">
        <v>45960</v>
      </c>
      <c r="H517" s="4" t="s">
        <v>856</v>
      </c>
      <c r="I517" s="4" t="s">
        <v>459</v>
      </c>
      <c r="J517" s="68" t="b">
        <v>0</v>
      </c>
      <c r="K517" s="67" t="b">
        <v>1</v>
      </c>
      <c r="L517" s="68" t="b">
        <v>0</v>
      </c>
      <c r="M517" s="68" t="b">
        <v>0</v>
      </c>
      <c r="N517" s="67" t="b">
        <v>1</v>
      </c>
      <c r="S517" s="8"/>
    </row>
    <row r="518" spans="1:24" ht="12.5">
      <c r="A518" s="4" t="s">
        <v>5</v>
      </c>
      <c r="B518" s="4" t="s">
        <v>119</v>
      </c>
      <c r="C518" s="4" t="s">
        <v>151</v>
      </c>
      <c r="D518" s="4" t="s">
        <v>152</v>
      </c>
      <c r="E518" s="4">
        <v>34622684226</v>
      </c>
      <c r="F518" s="4" t="s">
        <v>27</v>
      </c>
      <c r="G518" s="32">
        <v>45961</v>
      </c>
      <c r="H518" s="4" t="s">
        <v>856</v>
      </c>
      <c r="I518" s="4" t="s">
        <v>448</v>
      </c>
      <c r="J518" s="68" t="b">
        <v>1</v>
      </c>
      <c r="K518" s="67" t="b">
        <v>1</v>
      </c>
      <c r="L518" s="68" t="b">
        <v>0</v>
      </c>
      <c r="M518" s="68" t="b">
        <v>0</v>
      </c>
      <c r="N518" s="67" t="b">
        <v>1</v>
      </c>
      <c r="S518" s="4" t="s">
        <v>119</v>
      </c>
      <c r="T518" s="33">
        <v>45964</v>
      </c>
      <c r="U518" s="6">
        <v>87.5</v>
      </c>
      <c r="V518" s="7">
        <v>0.5</v>
      </c>
      <c r="W518" s="4">
        <v>1</v>
      </c>
      <c r="X518" s="8">
        <v>45689</v>
      </c>
    </row>
    <row r="519" spans="1:24" ht="12.5">
      <c r="A519" s="4" t="s">
        <v>5</v>
      </c>
      <c r="B519" s="4"/>
      <c r="C519" s="4" t="s">
        <v>1464</v>
      </c>
      <c r="D519" s="4" t="s">
        <v>1465</v>
      </c>
      <c r="E519" s="4">
        <v>56956291572</v>
      </c>
      <c r="F519" s="4" t="s">
        <v>210</v>
      </c>
      <c r="G519" s="32">
        <v>45962</v>
      </c>
      <c r="H519" s="4" t="s">
        <v>856</v>
      </c>
      <c r="I519" s="4" t="s">
        <v>459</v>
      </c>
      <c r="J519" s="68" t="b">
        <v>0</v>
      </c>
      <c r="K519" s="67" t="b">
        <v>1</v>
      </c>
      <c r="L519" s="68" t="b">
        <v>0</v>
      </c>
      <c r="M519" s="68" t="b">
        <v>0</v>
      </c>
      <c r="S519" s="4" t="s">
        <v>119</v>
      </c>
    </row>
    <row r="520" spans="1:24" ht="12.5">
      <c r="A520" s="4" t="s">
        <v>5</v>
      </c>
      <c r="B520" s="4"/>
      <c r="C520" s="4" t="s">
        <v>1466</v>
      </c>
      <c r="D520" s="4" t="s">
        <v>1467</v>
      </c>
      <c r="E520" s="4">
        <v>34629146164</v>
      </c>
      <c r="F520" s="4" t="s">
        <v>1468</v>
      </c>
      <c r="G520" s="32">
        <v>45962</v>
      </c>
      <c r="H520" s="4" t="s">
        <v>856</v>
      </c>
      <c r="I520" s="4" t="s">
        <v>459</v>
      </c>
      <c r="J520" s="68" t="b">
        <v>0</v>
      </c>
      <c r="K520" s="67" t="b">
        <v>1</v>
      </c>
      <c r="L520" s="68" t="b">
        <v>0</v>
      </c>
      <c r="M520" s="68" t="b">
        <v>0</v>
      </c>
      <c r="S520" s="4" t="s">
        <v>119</v>
      </c>
    </row>
    <row r="521" spans="1:24" ht="12.5">
      <c r="A521" s="4" t="s">
        <v>5</v>
      </c>
      <c r="B521" s="4"/>
      <c r="C521" s="4" t="s">
        <v>149</v>
      </c>
      <c r="D521" s="4" t="s">
        <v>150</v>
      </c>
      <c r="E521" s="4">
        <v>34695997982</v>
      </c>
      <c r="F521" s="4" t="s">
        <v>8</v>
      </c>
      <c r="G521" s="32">
        <v>45963</v>
      </c>
      <c r="H521" s="4" t="s">
        <v>856</v>
      </c>
      <c r="I521" s="4" t="s">
        <v>448</v>
      </c>
      <c r="J521" s="68" t="b">
        <v>0</v>
      </c>
      <c r="K521" s="67" t="b">
        <v>1</v>
      </c>
      <c r="L521" s="68" t="b">
        <v>0</v>
      </c>
      <c r="M521" s="68" t="b">
        <v>0</v>
      </c>
      <c r="S521" s="4" t="s">
        <v>119</v>
      </c>
      <c r="T521" s="33">
        <v>45964</v>
      </c>
      <c r="U521" s="6">
        <v>150</v>
      </c>
      <c r="V521" s="7">
        <v>0.5</v>
      </c>
      <c r="W521" s="4">
        <v>1</v>
      </c>
      <c r="X521" s="8">
        <v>45658</v>
      </c>
    </row>
    <row r="522" spans="1:24" ht="12.5">
      <c r="A522" s="4" t="s">
        <v>5</v>
      </c>
      <c r="B522" s="4"/>
      <c r="C522" s="4" t="s">
        <v>1469</v>
      </c>
      <c r="D522" s="4" t="s">
        <v>1470</v>
      </c>
      <c r="E522" s="4">
        <v>619205271</v>
      </c>
      <c r="F522" s="4" t="s">
        <v>1471</v>
      </c>
      <c r="G522" s="32">
        <v>45963</v>
      </c>
      <c r="H522" s="4" t="s">
        <v>856</v>
      </c>
      <c r="I522" s="4" t="s">
        <v>459</v>
      </c>
      <c r="J522" s="68" t="b">
        <v>0</v>
      </c>
      <c r="K522" s="67" t="b">
        <v>0</v>
      </c>
      <c r="L522" s="68" t="b">
        <v>0</v>
      </c>
      <c r="M522" s="68" t="b">
        <v>0</v>
      </c>
      <c r="S522" s="8"/>
    </row>
    <row r="523" spans="1:24" ht="12.5">
      <c r="A523" s="4" t="s">
        <v>5</v>
      </c>
      <c r="B523" s="4"/>
      <c r="C523" s="4" t="s">
        <v>1469</v>
      </c>
      <c r="D523" s="4" t="s">
        <v>1470</v>
      </c>
      <c r="E523" s="4">
        <v>619205271</v>
      </c>
      <c r="F523" s="4" t="s">
        <v>697</v>
      </c>
      <c r="G523" s="32">
        <v>45963</v>
      </c>
      <c r="H523" s="4" t="s">
        <v>856</v>
      </c>
      <c r="I523" s="4" t="s">
        <v>459</v>
      </c>
      <c r="J523" s="68" t="b">
        <v>0</v>
      </c>
      <c r="K523" s="67" t="b">
        <v>1</v>
      </c>
      <c r="L523" s="68" t="b">
        <v>0</v>
      </c>
      <c r="M523" s="68" t="b">
        <v>0</v>
      </c>
      <c r="N523" s="67" t="b">
        <v>1</v>
      </c>
      <c r="S523" s="8"/>
    </row>
    <row r="524" spans="1:24" ht="12.5">
      <c r="A524" s="4" t="s">
        <v>5</v>
      </c>
      <c r="B524" s="4"/>
      <c r="C524" s="4" t="s">
        <v>1472</v>
      </c>
      <c r="D524" s="4" t="s">
        <v>1473</v>
      </c>
      <c r="E524" s="4">
        <v>34623150671</v>
      </c>
      <c r="F524" s="4" t="s">
        <v>40</v>
      </c>
      <c r="G524" s="32">
        <v>45963</v>
      </c>
      <c r="H524" s="4" t="s">
        <v>856</v>
      </c>
      <c r="I524" s="4" t="s">
        <v>1097</v>
      </c>
      <c r="J524" s="68" t="b">
        <v>0</v>
      </c>
      <c r="K524" s="67" t="b">
        <v>1</v>
      </c>
      <c r="L524" s="68" t="b">
        <v>0</v>
      </c>
      <c r="M524" s="68" t="b">
        <v>0</v>
      </c>
      <c r="S524" s="8"/>
    </row>
    <row r="525" spans="1:24" ht="12.5">
      <c r="A525" s="4" t="s">
        <v>5</v>
      </c>
      <c r="B525" s="4"/>
      <c r="C525" s="4" t="s">
        <v>153</v>
      </c>
      <c r="D525" s="4" t="s">
        <v>154</v>
      </c>
      <c r="E525" s="4">
        <v>13478920370</v>
      </c>
      <c r="F525" s="4" t="s">
        <v>27</v>
      </c>
      <c r="G525" s="32">
        <v>45964</v>
      </c>
      <c r="H525" s="4" t="s">
        <v>856</v>
      </c>
      <c r="I525" s="4" t="s">
        <v>448</v>
      </c>
      <c r="J525" s="68" t="b">
        <v>1</v>
      </c>
      <c r="K525" s="67" t="b">
        <v>1</v>
      </c>
      <c r="L525" s="68" t="b">
        <v>0</v>
      </c>
      <c r="M525" s="68" t="b">
        <v>0</v>
      </c>
      <c r="S525" s="4" t="s">
        <v>119</v>
      </c>
      <c r="T525" s="33">
        <v>45964</v>
      </c>
      <c r="U525" s="6">
        <v>175</v>
      </c>
      <c r="V525" s="7">
        <v>0.5</v>
      </c>
      <c r="W525" s="4">
        <v>1</v>
      </c>
      <c r="X525" s="8">
        <v>45658</v>
      </c>
    </row>
    <row r="526" spans="1:24" ht="12.5">
      <c r="A526" s="4" t="s">
        <v>5</v>
      </c>
      <c r="B526" s="4"/>
      <c r="C526" s="4" t="s">
        <v>1474</v>
      </c>
      <c r="D526" s="4" t="s">
        <v>1475</v>
      </c>
      <c r="E526" s="4">
        <v>51980902470</v>
      </c>
      <c r="F526" s="4" t="s">
        <v>66</v>
      </c>
      <c r="G526" s="32">
        <v>45964</v>
      </c>
      <c r="H526" s="4" t="s">
        <v>856</v>
      </c>
      <c r="I526" s="4" t="s">
        <v>459</v>
      </c>
      <c r="J526" s="68" t="b">
        <v>0</v>
      </c>
      <c r="K526" s="67" t="b">
        <v>1</v>
      </c>
      <c r="L526" s="68" t="b">
        <v>0</v>
      </c>
      <c r="M526" s="68" t="b">
        <v>0</v>
      </c>
      <c r="N526" s="67" t="b">
        <v>1</v>
      </c>
      <c r="S526" s="8"/>
    </row>
    <row r="527" spans="1:24" ht="12.5">
      <c r="A527" s="4" t="s">
        <v>5</v>
      </c>
      <c r="B527" s="4"/>
      <c r="C527" s="4" t="s">
        <v>1476</v>
      </c>
      <c r="D527" s="4" t="s">
        <v>1477</v>
      </c>
      <c r="E527" s="4">
        <v>34610574334</v>
      </c>
      <c r="F527" s="4" t="s">
        <v>140</v>
      </c>
      <c r="G527" s="32">
        <v>45964</v>
      </c>
      <c r="H527" s="4" t="s">
        <v>856</v>
      </c>
      <c r="I527" s="4" t="s">
        <v>459</v>
      </c>
      <c r="J527" s="68" t="b">
        <v>0</v>
      </c>
      <c r="K527" s="67" t="b">
        <v>1</v>
      </c>
      <c r="L527" s="68" t="b">
        <v>0</v>
      </c>
      <c r="M527" s="68" t="b">
        <v>0</v>
      </c>
      <c r="N527" s="67" t="b">
        <v>1</v>
      </c>
      <c r="S527" s="8"/>
    </row>
    <row r="528" spans="1:24" ht="12.5">
      <c r="A528" s="4" t="s">
        <v>5</v>
      </c>
      <c r="B528" s="4"/>
      <c r="C528" s="4" t="s">
        <v>1478</v>
      </c>
      <c r="D528" s="4" t="s">
        <v>1479</v>
      </c>
      <c r="E528" s="4">
        <v>528181888981</v>
      </c>
      <c r="F528" s="4" t="s">
        <v>1480</v>
      </c>
      <c r="G528" s="32">
        <v>45964</v>
      </c>
      <c r="H528" s="4" t="s">
        <v>856</v>
      </c>
      <c r="I528" s="4" t="s">
        <v>886</v>
      </c>
      <c r="J528" s="68" t="b">
        <v>1</v>
      </c>
      <c r="K528" s="67" t="b">
        <v>0</v>
      </c>
      <c r="L528" s="68" t="b">
        <v>0</v>
      </c>
      <c r="M528" s="68" t="b">
        <v>0</v>
      </c>
      <c r="S528" s="8"/>
    </row>
    <row r="529" spans="1:24" ht="12.5">
      <c r="A529" s="4" t="s">
        <v>5</v>
      </c>
      <c r="B529" s="4"/>
      <c r="C529" s="4" t="s">
        <v>1481</v>
      </c>
      <c r="D529" s="4" t="s">
        <v>1482</v>
      </c>
      <c r="E529" s="4">
        <v>34683574931</v>
      </c>
      <c r="F529" s="4" t="s">
        <v>496</v>
      </c>
      <c r="G529" s="32">
        <v>45965</v>
      </c>
      <c r="H529" s="4" t="s">
        <v>856</v>
      </c>
      <c r="I529" s="4" t="s">
        <v>459</v>
      </c>
      <c r="J529" s="68" t="b">
        <v>0</v>
      </c>
      <c r="K529" s="67" t="b">
        <v>1</v>
      </c>
      <c r="L529" s="68" t="b">
        <v>0</v>
      </c>
      <c r="M529" s="68" t="b">
        <v>0</v>
      </c>
      <c r="N529" s="67" t="b">
        <v>1</v>
      </c>
      <c r="Q529" s="67" t="b">
        <v>1</v>
      </c>
      <c r="S529" s="8"/>
    </row>
    <row r="530" spans="1:24" ht="12.5">
      <c r="A530" s="4" t="s">
        <v>5</v>
      </c>
      <c r="B530" s="4"/>
      <c r="C530" s="4" t="s">
        <v>1483</v>
      </c>
      <c r="D530" s="4" t="s">
        <v>1484</v>
      </c>
      <c r="E530" s="4">
        <v>34600718698</v>
      </c>
      <c r="F530" s="4" t="s">
        <v>8</v>
      </c>
      <c r="G530" s="32">
        <v>45965</v>
      </c>
      <c r="H530" s="4" t="s">
        <v>856</v>
      </c>
      <c r="I530" s="4" t="s">
        <v>886</v>
      </c>
      <c r="J530" s="68" t="b">
        <v>0</v>
      </c>
      <c r="K530" s="67" t="b">
        <v>1</v>
      </c>
      <c r="L530" s="68" t="b">
        <v>0</v>
      </c>
      <c r="M530" s="68" t="b">
        <v>0</v>
      </c>
      <c r="S530" s="8"/>
    </row>
    <row r="531" spans="1:24" ht="12.5">
      <c r="A531" s="4" t="s">
        <v>381</v>
      </c>
      <c r="B531" s="4"/>
      <c r="C531" s="4" t="s">
        <v>1485</v>
      </c>
      <c r="D531" s="4" t="s">
        <v>1486</v>
      </c>
      <c r="E531" s="4">
        <v>0</v>
      </c>
      <c r="F531" s="4" t="s">
        <v>1487</v>
      </c>
      <c r="G531" s="32">
        <v>45966</v>
      </c>
      <c r="H531" s="4" t="s">
        <v>856</v>
      </c>
      <c r="I531" s="4" t="s">
        <v>459</v>
      </c>
      <c r="J531" s="68" t="b">
        <v>0</v>
      </c>
      <c r="K531" s="67" t="b">
        <v>0</v>
      </c>
      <c r="L531" s="68" t="b">
        <v>1</v>
      </c>
      <c r="M531" s="68" t="b">
        <v>0</v>
      </c>
      <c r="S531" s="8"/>
    </row>
    <row r="532" spans="1:24" ht="12.5">
      <c r="A532" s="4" t="s">
        <v>1488</v>
      </c>
      <c r="B532" s="4"/>
      <c r="C532" s="4" t="s">
        <v>1489</v>
      </c>
      <c r="E532" s="4">
        <f>573054453712</f>
        <v>573054453712</v>
      </c>
      <c r="F532" s="4" t="s">
        <v>797</v>
      </c>
      <c r="G532" s="32">
        <v>45966</v>
      </c>
      <c r="H532" s="4" t="s">
        <v>956</v>
      </c>
      <c r="I532" s="4" t="s">
        <v>459</v>
      </c>
      <c r="J532" s="68" t="b">
        <v>0</v>
      </c>
      <c r="K532" s="67" t="b">
        <v>1</v>
      </c>
      <c r="L532" s="68" t="b">
        <v>0</v>
      </c>
      <c r="M532" s="68" t="b">
        <v>0</v>
      </c>
      <c r="N532" s="4"/>
      <c r="O532" s="4"/>
      <c r="P532" s="4"/>
      <c r="Q532" s="4"/>
      <c r="R532" s="4"/>
      <c r="S532" s="8"/>
    </row>
    <row r="533" spans="1:24" ht="12.5">
      <c r="A533" s="4" t="s">
        <v>5</v>
      </c>
      <c r="E533" s="4" t="s">
        <v>1490</v>
      </c>
      <c r="F533" s="4" t="s">
        <v>1491</v>
      </c>
      <c r="G533" s="32">
        <v>45966</v>
      </c>
      <c r="H533" s="4" t="s">
        <v>956</v>
      </c>
      <c r="I533" s="4" t="s">
        <v>459</v>
      </c>
      <c r="J533" s="68" t="b">
        <v>0</v>
      </c>
      <c r="K533" s="67" t="b">
        <v>1</v>
      </c>
      <c r="L533" s="68" t="b">
        <v>0</v>
      </c>
      <c r="M533" s="68" t="b">
        <v>0</v>
      </c>
      <c r="N533" s="67" t="b">
        <v>1</v>
      </c>
      <c r="O533" s="4"/>
      <c r="P533" s="4"/>
      <c r="Q533" s="67" t="b">
        <v>1</v>
      </c>
      <c r="R533" s="4"/>
      <c r="S533" s="4" t="s">
        <v>119</v>
      </c>
    </row>
    <row r="534" spans="1:24" ht="12.5">
      <c r="A534" s="4" t="s">
        <v>5</v>
      </c>
      <c r="B534" s="4"/>
      <c r="C534" s="4" t="s">
        <v>1492</v>
      </c>
      <c r="D534" s="4" t="s">
        <v>1493</v>
      </c>
      <c r="E534" s="4">
        <v>34654258581</v>
      </c>
      <c r="F534" s="4" t="s">
        <v>40</v>
      </c>
      <c r="G534" s="32">
        <v>45966</v>
      </c>
      <c r="H534" s="4" t="s">
        <v>856</v>
      </c>
      <c r="I534" s="4" t="s">
        <v>459</v>
      </c>
      <c r="J534" s="68" t="b">
        <v>0</v>
      </c>
      <c r="K534" s="67" t="b">
        <v>1</v>
      </c>
      <c r="L534" s="68" t="b">
        <v>0</v>
      </c>
      <c r="M534" s="68" t="b">
        <v>0</v>
      </c>
      <c r="N534" s="67" t="b">
        <v>1</v>
      </c>
      <c r="S534" s="4" t="s">
        <v>119</v>
      </c>
    </row>
    <row r="535" spans="1:24" ht="14">
      <c r="A535" s="4" t="s">
        <v>5</v>
      </c>
      <c r="B535" s="4"/>
      <c r="C535" s="4" t="s">
        <v>155</v>
      </c>
      <c r="D535" s="21" t="s">
        <v>156</v>
      </c>
      <c r="F535" s="4" t="s">
        <v>157</v>
      </c>
      <c r="G535" s="32">
        <v>45966</v>
      </c>
      <c r="H535" s="4" t="s">
        <v>856</v>
      </c>
      <c r="I535" s="23" t="s">
        <v>448</v>
      </c>
      <c r="J535" s="68" t="b">
        <v>0</v>
      </c>
      <c r="K535" s="4"/>
      <c r="L535" s="4"/>
      <c r="M535" s="4"/>
      <c r="N535" s="4"/>
      <c r="O535" s="4"/>
      <c r="P535" s="4"/>
      <c r="Q535" s="4"/>
      <c r="R535" s="4"/>
      <c r="S535" s="4" t="s">
        <v>34</v>
      </c>
      <c r="T535" s="33">
        <v>45966</v>
      </c>
      <c r="U535" s="6">
        <v>299</v>
      </c>
      <c r="V535" s="4">
        <v>0</v>
      </c>
      <c r="W535" s="4">
        <v>1</v>
      </c>
      <c r="X535" s="8">
        <v>45658</v>
      </c>
    </row>
    <row r="536" spans="1:24" ht="12.5">
      <c r="A536" s="9" t="s">
        <v>5</v>
      </c>
      <c r="B536" s="9"/>
      <c r="C536" s="9" t="s">
        <v>1494</v>
      </c>
      <c r="D536" s="58"/>
      <c r="E536" s="9" t="s">
        <v>1495</v>
      </c>
      <c r="F536" s="9" t="s">
        <v>1496</v>
      </c>
      <c r="G536" s="43">
        <v>45966</v>
      </c>
      <c r="H536" s="4" t="s">
        <v>956</v>
      </c>
      <c r="I536" s="4" t="s">
        <v>459</v>
      </c>
      <c r="J536" s="68" t="b">
        <v>0</v>
      </c>
      <c r="K536" s="67" t="b">
        <v>1</v>
      </c>
      <c r="L536" s="4"/>
      <c r="M536" s="4"/>
      <c r="N536" s="4"/>
      <c r="O536" s="4"/>
      <c r="P536" s="4"/>
      <c r="Q536" s="4"/>
      <c r="R536" s="4"/>
      <c r="S536" s="4" t="s">
        <v>119</v>
      </c>
    </row>
    <row r="537" spans="1:24" ht="14">
      <c r="A537" s="4" t="s">
        <v>5</v>
      </c>
      <c r="B537" s="4"/>
      <c r="C537" s="4" t="s">
        <v>158</v>
      </c>
      <c r="D537" s="21" t="s">
        <v>159</v>
      </c>
      <c r="E537" s="4">
        <v>34644044528</v>
      </c>
      <c r="F537" s="4" t="s">
        <v>8</v>
      </c>
      <c r="G537" s="32">
        <v>45966</v>
      </c>
      <c r="H537" s="4" t="s">
        <v>956</v>
      </c>
      <c r="I537" s="4" t="s">
        <v>448</v>
      </c>
      <c r="J537" s="68" t="b">
        <v>0</v>
      </c>
      <c r="K537" s="67" t="b">
        <v>1</v>
      </c>
      <c r="L537" s="4"/>
      <c r="M537" s="4"/>
      <c r="N537" s="4"/>
      <c r="O537" s="4"/>
      <c r="P537" s="4"/>
      <c r="Q537" s="4"/>
      <c r="R537" s="4"/>
      <c r="S537" s="4" t="s">
        <v>119</v>
      </c>
      <c r="T537" s="33">
        <v>45966</v>
      </c>
      <c r="U537" s="6">
        <v>299</v>
      </c>
      <c r="V537" s="4">
        <v>0</v>
      </c>
      <c r="W537" s="4">
        <v>1</v>
      </c>
      <c r="X537" s="8">
        <v>45658</v>
      </c>
    </row>
    <row r="538" spans="1:24" ht="14">
      <c r="A538" s="4" t="s">
        <v>5</v>
      </c>
      <c r="B538" s="4" t="s">
        <v>119</v>
      </c>
      <c r="C538" s="4" t="s">
        <v>160</v>
      </c>
      <c r="D538" s="21" t="s">
        <v>161</v>
      </c>
      <c r="E538" s="4" t="s">
        <v>162</v>
      </c>
      <c r="F538" s="4" t="s">
        <v>27</v>
      </c>
      <c r="G538" s="32">
        <v>45967</v>
      </c>
      <c r="H538" s="4" t="s">
        <v>956</v>
      </c>
      <c r="I538" s="4" t="s">
        <v>448</v>
      </c>
      <c r="J538" s="68" t="b">
        <v>0</v>
      </c>
      <c r="K538" s="67" t="b">
        <v>1</v>
      </c>
      <c r="S538" s="4" t="s">
        <v>119</v>
      </c>
      <c r="T538" s="33">
        <v>45967</v>
      </c>
      <c r="U538" s="6">
        <v>350</v>
      </c>
      <c r="V538" s="4">
        <v>0</v>
      </c>
      <c r="W538" s="4">
        <v>1</v>
      </c>
      <c r="X538" s="8">
        <v>45658</v>
      </c>
    </row>
    <row r="539" spans="1:24" ht="14">
      <c r="A539" s="4" t="s">
        <v>5</v>
      </c>
      <c r="B539" s="4"/>
      <c r="C539" s="4" t="s">
        <v>1046</v>
      </c>
      <c r="D539" s="21" t="s">
        <v>1497</v>
      </c>
      <c r="E539" s="4">
        <v>584242439474</v>
      </c>
      <c r="F539" s="4" t="s">
        <v>307</v>
      </c>
      <c r="G539" s="32">
        <v>45968</v>
      </c>
      <c r="H539" s="4" t="s">
        <v>856</v>
      </c>
      <c r="I539" s="4" t="s">
        <v>1431</v>
      </c>
      <c r="J539" s="68" t="b">
        <v>0</v>
      </c>
      <c r="K539" s="67" t="b">
        <v>0</v>
      </c>
      <c r="S539" s="4"/>
      <c r="T539" s="33"/>
      <c r="U539" s="6"/>
      <c r="V539" s="4"/>
      <c r="W539" s="4"/>
      <c r="X539" s="8"/>
    </row>
    <row r="540" spans="1:24" ht="14">
      <c r="A540" s="4" t="s">
        <v>5</v>
      </c>
      <c r="B540" s="4"/>
      <c r="C540" s="4" t="s">
        <v>1498</v>
      </c>
      <c r="D540" s="21" t="s">
        <v>1499</v>
      </c>
      <c r="E540" s="4">
        <v>584127861471</v>
      </c>
      <c r="F540" s="4" t="s">
        <v>1500</v>
      </c>
      <c r="G540" s="32">
        <v>45968</v>
      </c>
      <c r="H540" s="4" t="s">
        <v>856</v>
      </c>
      <c r="I540" s="4" t="s">
        <v>1431</v>
      </c>
      <c r="J540" s="68" t="b">
        <v>0</v>
      </c>
      <c r="K540" s="67" t="b">
        <v>0</v>
      </c>
      <c r="S540" s="4"/>
      <c r="T540" s="33"/>
      <c r="U540" s="6"/>
      <c r="V540" s="4"/>
      <c r="W540" s="4"/>
      <c r="X540" s="8"/>
    </row>
    <row r="541" spans="1:24" ht="14">
      <c r="A541" s="4" t="s">
        <v>5</v>
      </c>
      <c r="B541" s="4"/>
      <c r="C541" s="4" t="s">
        <v>663</v>
      </c>
      <c r="D541" s="21" t="s">
        <v>457</v>
      </c>
      <c r="E541" s="4">
        <v>3378400932</v>
      </c>
      <c r="F541" s="4" t="s">
        <v>91</v>
      </c>
      <c r="G541" s="32">
        <v>45968</v>
      </c>
      <c r="H541" s="4" t="s">
        <v>856</v>
      </c>
      <c r="I541" s="4" t="s">
        <v>1431</v>
      </c>
      <c r="J541" s="68" t="b">
        <v>0</v>
      </c>
      <c r="K541" s="67" t="b">
        <v>0</v>
      </c>
      <c r="S541" s="4"/>
      <c r="T541" s="33"/>
      <c r="U541" s="6"/>
      <c r="V541" s="4"/>
      <c r="W541" s="4"/>
      <c r="X541" s="8"/>
    </row>
    <row r="542" spans="1:24" ht="14">
      <c r="A542" s="4" t="s">
        <v>5</v>
      </c>
      <c r="B542" s="4"/>
      <c r="C542" s="4" t="s">
        <v>1501</v>
      </c>
      <c r="D542" s="21" t="s">
        <v>1502</v>
      </c>
      <c r="E542" s="4">
        <v>17875181549</v>
      </c>
      <c r="F542" s="4" t="s">
        <v>284</v>
      </c>
      <c r="G542" s="32">
        <v>45968</v>
      </c>
      <c r="H542" s="4" t="s">
        <v>856</v>
      </c>
      <c r="I542" s="4" t="s">
        <v>886</v>
      </c>
      <c r="J542" s="68" t="b">
        <v>0</v>
      </c>
      <c r="K542" s="67" t="b">
        <v>0</v>
      </c>
      <c r="S542" s="4"/>
      <c r="T542" s="33"/>
      <c r="U542" s="6"/>
      <c r="V542" s="4"/>
      <c r="W542" s="4"/>
      <c r="X542" s="8"/>
    </row>
    <row r="543" spans="1:24" ht="14">
      <c r="A543" s="4" t="s">
        <v>5</v>
      </c>
      <c r="B543" s="21"/>
      <c r="C543" s="21" t="s">
        <v>163</v>
      </c>
      <c r="D543" s="21" t="s">
        <v>164</v>
      </c>
      <c r="E543" s="4" t="s">
        <v>165</v>
      </c>
      <c r="F543" s="4" t="s">
        <v>166</v>
      </c>
      <c r="G543" s="32">
        <v>45968</v>
      </c>
      <c r="H543" s="4" t="s">
        <v>956</v>
      </c>
      <c r="I543" s="4" t="s">
        <v>448</v>
      </c>
      <c r="J543" s="68" t="b">
        <v>0</v>
      </c>
      <c r="K543" s="67" t="b">
        <v>1</v>
      </c>
      <c r="L543" s="4"/>
      <c r="M543" s="4"/>
      <c r="N543" s="4"/>
      <c r="O543" s="4"/>
      <c r="P543" s="4"/>
      <c r="Q543" s="4"/>
      <c r="R543" s="4"/>
      <c r="S543" s="4" t="s">
        <v>119</v>
      </c>
      <c r="T543" s="33">
        <v>45968</v>
      </c>
      <c r="U543" s="6">
        <v>175</v>
      </c>
      <c r="V543" s="4">
        <v>0</v>
      </c>
      <c r="W543" s="4">
        <v>1</v>
      </c>
      <c r="X543" s="8">
        <v>45658</v>
      </c>
    </row>
    <row r="544" spans="1:24" ht="14">
      <c r="A544" s="4" t="s">
        <v>5</v>
      </c>
      <c r="B544" s="21"/>
      <c r="C544" s="21" t="s">
        <v>1503</v>
      </c>
      <c r="D544" s="21" t="s">
        <v>1504</v>
      </c>
      <c r="E544" s="4">
        <v>59894148825</v>
      </c>
      <c r="F544" s="4" t="s">
        <v>1167</v>
      </c>
      <c r="G544" s="32">
        <v>45968</v>
      </c>
      <c r="H544" s="4" t="s">
        <v>856</v>
      </c>
      <c r="I544" s="4" t="s">
        <v>459</v>
      </c>
      <c r="J544" s="68" t="b">
        <v>0</v>
      </c>
      <c r="K544" s="67" t="b">
        <v>1</v>
      </c>
      <c r="N544" s="67" t="b">
        <v>1</v>
      </c>
      <c r="S544" s="4"/>
      <c r="T544" s="33"/>
      <c r="U544" s="6"/>
      <c r="V544" s="4"/>
      <c r="W544" s="4"/>
      <c r="X544" s="8"/>
    </row>
    <row r="545" spans="1:24" ht="14">
      <c r="A545" s="4" t="s">
        <v>5</v>
      </c>
      <c r="B545" s="21"/>
      <c r="C545" s="21" t="s">
        <v>1505</v>
      </c>
      <c r="D545" s="21" t="s">
        <v>1506</v>
      </c>
      <c r="E545" s="4">
        <v>34646861585</v>
      </c>
      <c r="F545" s="4" t="s">
        <v>8</v>
      </c>
      <c r="G545" s="32">
        <v>45968</v>
      </c>
      <c r="H545" s="4" t="s">
        <v>856</v>
      </c>
      <c r="I545" s="4" t="s">
        <v>459</v>
      </c>
      <c r="J545" s="68" t="b">
        <v>1</v>
      </c>
      <c r="K545" s="67" t="b">
        <v>1</v>
      </c>
      <c r="N545" s="67" t="b">
        <v>1</v>
      </c>
      <c r="S545" s="4"/>
      <c r="T545" s="33"/>
      <c r="U545" s="6"/>
      <c r="V545" s="4"/>
      <c r="W545" s="4"/>
      <c r="X545" s="8"/>
    </row>
    <row r="546" spans="1:24" ht="14">
      <c r="A546" s="4" t="s">
        <v>5</v>
      </c>
      <c r="B546" s="21"/>
      <c r="C546" s="21" t="s">
        <v>1507</v>
      </c>
      <c r="D546" s="21" t="s">
        <v>1508</v>
      </c>
      <c r="E546" s="4">
        <v>34687557603</v>
      </c>
      <c r="F546" s="4" t="s">
        <v>52</v>
      </c>
      <c r="G546" s="32">
        <v>45969</v>
      </c>
      <c r="H546" s="4" t="s">
        <v>856</v>
      </c>
      <c r="I546" s="4" t="s">
        <v>459</v>
      </c>
      <c r="J546" s="68" t="b">
        <v>0</v>
      </c>
      <c r="K546" s="67" t="b">
        <v>1</v>
      </c>
      <c r="N546" s="67" t="b">
        <v>1</v>
      </c>
      <c r="S546" s="4"/>
      <c r="T546" s="33"/>
      <c r="U546" s="6"/>
      <c r="V546" s="4"/>
      <c r="W546" s="4"/>
      <c r="X546" s="8"/>
    </row>
    <row r="547" spans="1:24" ht="14">
      <c r="A547" s="4" t="s">
        <v>5</v>
      </c>
      <c r="B547" s="21"/>
      <c r="C547" s="21" t="s">
        <v>1509</v>
      </c>
      <c r="D547" s="21" t="s">
        <v>169</v>
      </c>
      <c r="E547" s="4">
        <v>34658167820</v>
      </c>
      <c r="F547" s="4" t="s">
        <v>70</v>
      </c>
      <c r="G547" s="32">
        <v>45970</v>
      </c>
      <c r="H547" s="4" t="s">
        <v>856</v>
      </c>
      <c r="I547" s="4" t="s">
        <v>448</v>
      </c>
      <c r="J547" s="68" t="b">
        <v>1</v>
      </c>
      <c r="K547" s="67" t="b">
        <v>1</v>
      </c>
      <c r="S547" s="4" t="s">
        <v>119</v>
      </c>
      <c r="T547" s="33">
        <v>45971</v>
      </c>
      <c r="U547" s="6">
        <v>87.5</v>
      </c>
      <c r="V547" s="7">
        <v>0.3</v>
      </c>
      <c r="W547" s="4">
        <v>1</v>
      </c>
      <c r="X547" s="8">
        <v>45689</v>
      </c>
    </row>
    <row r="548" spans="1:24" ht="14">
      <c r="A548" s="4" t="s">
        <v>5</v>
      </c>
      <c r="B548" s="21"/>
      <c r="C548" s="21" t="s">
        <v>1510</v>
      </c>
      <c r="D548" s="21" t="s">
        <v>1511</v>
      </c>
      <c r="E548" s="4">
        <v>15513019497</v>
      </c>
      <c r="F548" s="4" t="s">
        <v>1255</v>
      </c>
      <c r="G548" s="32">
        <v>45970</v>
      </c>
      <c r="H548" s="4" t="s">
        <v>856</v>
      </c>
      <c r="I548" s="4" t="s">
        <v>459</v>
      </c>
      <c r="J548" s="68" t="b">
        <v>1</v>
      </c>
      <c r="K548" s="67" t="b">
        <v>1</v>
      </c>
      <c r="S548" s="4"/>
      <c r="T548" s="33"/>
      <c r="U548" s="6"/>
      <c r="V548" s="4"/>
      <c r="W548" s="4"/>
      <c r="X548" s="8"/>
    </row>
    <row r="549" spans="1:24" ht="14">
      <c r="A549" s="4" t="s">
        <v>5</v>
      </c>
      <c r="B549" s="21"/>
      <c r="C549" s="21" t="s">
        <v>1512</v>
      </c>
      <c r="D549" s="21" t="s">
        <v>1513</v>
      </c>
      <c r="E549" s="4">
        <v>56951778770</v>
      </c>
      <c r="F549" s="4" t="s">
        <v>1514</v>
      </c>
      <c r="G549" s="32">
        <v>45970</v>
      </c>
      <c r="H549" s="4" t="s">
        <v>856</v>
      </c>
      <c r="I549" s="4" t="s">
        <v>459</v>
      </c>
      <c r="J549" s="68" t="b">
        <v>0</v>
      </c>
      <c r="K549" s="67" t="b">
        <v>1</v>
      </c>
      <c r="S549" s="4"/>
      <c r="T549" s="33"/>
      <c r="U549" s="6"/>
      <c r="V549" s="4"/>
      <c r="W549" s="4"/>
      <c r="X549" s="8"/>
    </row>
    <row r="550" spans="1:24" ht="14">
      <c r="A550" s="4" t="s">
        <v>5</v>
      </c>
      <c r="B550" s="21"/>
      <c r="C550" s="21" t="s">
        <v>1515</v>
      </c>
      <c r="D550" s="21" t="s">
        <v>1516</v>
      </c>
      <c r="E550" s="4">
        <v>56995377607</v>
      </c>
      <c r="F550" s="4" t="s">
        <v>285</v>
      </c>
      <c r="G550" s="32">
        <v>45970</v>
      </c>
      <c r="H550" s="4" t="s">
        <v>856</v>
      </c>
      <c r="I550" s="4" t="s">
        <v>459</v>
      </c>
      <c r="J550" s="68" t="b">
        <v>0</v>
      </c>
      <c r="K550" s="67" t="b">
        <v>1</v>
      </c>
      <c r="S550" s="4"/>
      <c r="T550" s="33"/>
      <c r="U550" s="6"/>
      <c r="V550" s="4"/>
      <c r="W550" s="4"/>
      <c r="X550" s="8"/>
    </row>
    <row r="551" spans="1:24" ht="14">
      <c r="A551" s="4" t="s">
        <v>5</v>
      </c>
      <c r="B551" s="21"/>
      <c r="C551" s="21" t="s">
        <v>1517</v>
      </c>
      <c r="D551" s="21" t="s">
        <v>1518</v>
      </c>
      <c r="E551" s="4">
        <v>34651176292</v>
      </c>
      <c r="F551" s="4" t="s">
        <v>386</v>
      </c>
      <c r="G551" s="32">
        <v>45971</v>
      </c>
      <c r="H551" s="4" t="s">
        <v>856</v>
      </c>
      <c r="I551" s="4" t="s">
        <v>459</v>
      </c>
      <c r="J551" s="68" t="b">
        <v>0</v>
      </c>
      <c r="K551" s="67" t="b">
        <v>1</v>
      </c>
      <c r="S551" s="4"/>
      <c r="T551" s="33"/>
      <c r="U551" s="6"/>
      <c r="V551" s="4"/>
      <c r="W551" s="4"/>
      <c r="X551" s="8"/>
    </row>
    <row r="552" spans="1:24" ht="14">
      <c r="A552" s="4" t="s">
        <v>5</v>
      </c>
      <c r="B552" s="21"/>
      <c r="C552" s="21" t="s">
        <v>1519</v>
      </c>
      <c r="D552" s="21" t="s">
        <v>1520</v>
      </c>
      <c r="E552" s="4">
        <v>563166613915</v>
      </c>
      <c r="F552" s="4" t="s">
        <v>1521</v>
      </c>
      <c r="G552" s="32">
        <v>45971</v>
      </c>
      <c r="H552" s="4" t="s">
        <v>856</v>
      </c>
      <c r="I552" s="4" t="s">
        <v>459</v>
      </c>
      <c r="J552" s="68" t="b">
        <v>0</v>
      </c>
      <c r="K552" s="67" t="b">
        <v>0</v>
      </c>
      <c r="L552" s="68" t="b">
        <v>1</v>
      </c>
      <c r="S552" s="4"/>
      <c r="T552" s="33"/>
      <c r="U552" s="6"/>
      <c r="V552" s="4"/>
      <c r="W552" s="4"/>
      <c r="X552" s="8"/>
    </row>
    <row r="553" spans="1:24" ht="14">
      <c r="A553" s="4" t="s">
        <v>5</v>
      </c>
      <c r="B553" s="21"/>
      <c r="C553" s="21" t="s">
        <v>1522</v>
      </c>
      <c r="D553" s="21" t="s">
        <v>1523</v>
      </c>
      <c r="E553" s="4">
        <v>34678934311</v>
      </c>
      <c r="F553" s="4" t="s">
        <v>307</v>
      </c>
      <c r="G553" s="32">
        <v>45972</v>
      </c>
      <c r="H553" s="4" t="s">
        <v>856</v>
      </c>
      <c r="I553" s="4" t="s">
        <v>459</v>
      </c>
      <c r="J553" s="68" t="b">
        <v>0</v>
      </c>
      <c r="K553" s="67" t="b">
        <v>1</v>
      </c>
      <c r="S553" s="4"/>
      <c r="T553" s="33"/>
      <c r="U553" s="6"/>
      <c r="V553" s="4"/>
      <c r="W553" s="4"/>
      <c r="X553" s="8"/>
    </row>
    <row r="554" spans="1:24" ht="14">
      <c r="A554" s="4" t="s">
        <v>5</v>
      </c>
      <c r="B554" s="34"/>
      <c r="C554" s="34" t="s">
        <v>170</v>
      </c>
      <c r="D554" s="21" t="s">
        <v>171</v>
      </c>
      <c r="E554" s="4" t="s">
        <v>1524</v>
      </c>
      <c r="F554" s="4" t="s">
        <v>172</v>
      </c>
      <c r="G554" s="32">
        <v>45972</v>
      </c>
      <c r="H554" s="4" t="s">
        <v>856</v>
      </c>
      <c r="I554" s="4" t="s">
        <v>448</v>
      </c>
      <c r="J554" s="68" t="b">
        <v>0</v>
      </c>
      <c r="K554" s="4"/>
      <c r="L554" s="4"/>
      <c r="M554" s="4"/>
      <c r="N554" s="4"/>
      <c r="O554" s="4"/>
      <c r="P554" s="4"/>
      <c r="Q554" s="4"/>
      <c r="R554" s="4"/>
      <c r="S554" s="4" t="s">
        <v>34</v>
      </c>
      <c r="T554" s="18">
        <v>45972</v>
      </c>
      <c r="U554" s="6">
        <v>140</v>
      </c>
      <c r="V554" s="4">
        <v>0</v>
      </c>
      <c r="W554" s="4">
        <v>1</v>
      </c>
      <c r="X554" s="8">
        <v>45658</v>
      </c>
    </row>
    <row r="555" spans="1:24" ht="14">
      <c r="A555" s="4" t="s">
        <v>5</v>
      </c>
      <c r="B555" s="4"/>
      <c r="C555" s="4" t="s">
        <v>173</v>
      </c>
      <c r="D555" s="21" t="s">
        <v>174</v>
      </c>
      <c r="E555" s="4" t="s">
        <v>1525</v>
      </c>
      <c r="F555" s="4" t="s">
        <v>175</v>
      </c>
      <c r="G555" s="32">
        <v>45972</v>
      </c>
      <c r="H555" s="4" t="s">
        <v>856</v>
      </c>
      <c r="I555" s="4" t="s">
        <v>448</v>
      </c>
      <c r="J555" s="68" t="b">
        <v>0</v>
      </c>
      <c r="K555" s="67" t="b">
        <v>1</v>
      </c>
      <c r="L555" s="4"/>
      <c r="M555" s="4"/>
      <c r="N555" s="4"/>
      <c r="O555" s="4"/>
      <c r="P555" s="4"/>
      <c r="Q555" s="4"/>
      <c r="R555" s="4"/>
      <c r="S555" s="4" t="s">
        <v>119</v>
      </c>
      <c r="T555" s="18">
        <v>45972</v>
      </c>
      <c r="U555" s="6">
        <v>205</v>
      </c>
      <c r="V555" s="7">
        <v>0.3</v>
      </c>
      <c r="W555" s="4">
        <v>1</v>
      </c>
      <c r="X555" s="8">
        <v>45658</v>
      </c>
    </row>
    <row r="556" spans="1:24" ht="14">
      <c r="A556" s="4" t="s">
        <v>5</v>
      </c>
      <c r="B556" s="4"/>
      <c r="C556" s="4" t="s">
        <v>1526</v>
      </c>
      <c r="D556" s="21" t="s">
        <v>1527</v>
      </c>
      <c r="E556" s="4">
        <v>529982603744</v>
      </c>
      <c r="F556" s="4" t="s">
        <v>403</v>
      </c>
      <c r="G556" s="32">
        <v>45972</v>
      </c>
      <c r="H556" s="4" t="s">
        <v>856</v>
      </c>
      <c r="I556" s="4" t="s">
        <v>459</v>
      </c>
      <c r="J556" s="68" t="b">
        <v>0</v>
      </c>
      <c r="K556" s="67" t="b">
        <v>1</v>
      </c>
      <c r="S556" s="4"/>
      <c r="T556" s="18"/>
      <c r="U556" s="6"/>
      <c r="V556" s="7"/>
      <c r="W556" s="4"/>
      <c r="X556" s="8"/>
    </row>
    <row r="557" spans="1:24" ht="14">
      <c r="A557" s="4" t="s">
        <v>5</v>
      </c>
      <c r="B557" s="4"/>
      <c r="C557" s="4" t="s">
        <v>1528</v>
      </c>
      <c r="D557" s="21" t="s">
        <v>1529</v>
      </c>
      <c r="E557" s="4">
        <v>34617397807</v>
      </c>
      <c r="F557" s="4" t="s">
        <v>1255</v>
      </c>
      <c r="G557" s="32">
        <v>45972</v>
      </c>
      <c r="H557" s="4" t="s">
        <v>856</v>
      </c>
      <c r="I557" s="4" t="s">
        <v>459</v>
      </c>
      <c r="J557" s="68" t="b">
        <v>0</v>
      </c>
      <c r="K557" s="67" t="b">
        <v>1</v>
      </c>
      <c r="S557" s="4"/>
      <c r="T557" s="18"/>
      <c r="U557" s="6"/>
      <c r="V557" s="7"/>
      <c r="W557" s="4"/>
      <c r="X557" s="8"/>
    </row>
    <row r="558" spans="1:24" ht="14">
      <c r="A558" s="4" t="s">
        <v>5</v>
      </c>
      <c r="B558" s="4"/>
      <c r="C558" s="4" t="s">
        <v>1530</v>
      </c>
      <c r="D558" s="21" t="s">
        <v>1531</v>
      </c>
      <c r="E558" s="4">
        <v>34673283780</v>
      </c>
      <c r="F558" s="4" t="s">
        <v>1532</v>
      </c>
      <c r="G558" s="32">
        <v>45972</v>
      </c>
      <c r="H558" s="4" t="s">
        <v>856</v>
      </c>
      <c r="I558" s="4" t="s">
        <v>459</v>
      </c>
      <c r="J558" s="68" t="b">
        <v>0</v>
      </c>
      <c r="K558" s="67" t="b">
        <v>1</v>
      </c>
      <c r="S558" s="4"/>
      <c r="T558" s="18"/>
      <c r="U558" s="6"/>
      <c r="V558" s="7"/>
      <c r="W558" s="4"/>
      <c r="X558" s="8"/>
    </row>
    <row r="559" spans="1:24" ht="14">
      <c r="A559" s="4" t="s">
        <v>5</v>
      </c>
      <c r="B559" s="4"/>
      <c r="C559" s="4" t="s">
        <v>1533</v>
      </c>
      <c r="D559" s="21" t="s">
        <v>1534</v>
      </c>
      <c r="E559" s="4">
        <v>34603322663</v>
      </c>
      <c r="F559" s="4" t="s">
        <v>354</v>
      </c>
      <c r="G559" s="32">
        <v>45973</v>
      </c>
      <c r="H559" s="4" t="s">
        <v>856</v>
      </c>
      <c r="I559" s="4" t="s">
        <v>459</v>
      </c>
      <c r="J559" s="68" t="b">
        <v>0</v>
      </c>
      <c r="K559" s="67" t="b">
        <v>0</v>
      </c>
      <c r="L559" s="68" t="b">
        <v>1</v>
      </c>
      <c r="S559" s="4"/>
      <c r="T559" s="18"/>
      <c r="U559" s="6"/>
      <c r="V559" s="7"/>
      <c r="W559" s="4"/>
      <c r="X559" s="8"/>
    </row>
    <row r="560" spans="1:24" ht="14">
      <c r="A560" s="4" t="s">
        <v>5</v>
      </c>
      <c r="B560" s="4"/>
      <c r="C560" s="4" t="s">
        <v>1535</v>
      </c>
      <c r="D560" s="21" t="s">
        <v>1536</v>
      </c>
      <c r="E560" s="4">
        <v>34665902754</v>
      </c>
      <c r="F560" s="4" t="s">
        <v>8</v>
      </c>
      <c r="G560" s="32">
        <v>45973</v>
      </c>
      <c r="H560" s="4" t="s">
        <v>856</v>
      </c>
      <c r="I560" s="4" t="s">
        <v>459</v>
      </c>
      <c r="J560" s="68" t="b">
        <v>0</v>
      </c>
      <c r="K560" s="67" t="b">
        <v>1</v>
      </c>
      <c r="S560" s="4"/>
      <c r="T560" s="18"/>
      <c r="U560" s="6"/>
      <c r="V560" s="7"/>
      <c r="W560" s="4"/>
      <c r="X560" s="8"/>
    </row>
    <row r="561" spans="1:24" ht="14">
      <c r="A561" s="4" t="s">
        <v>5</v>
      </c>
      <c r="B561" s="4"/>
      <c r="C561" s="4" t="s">
        <v>1537</v>
      </c>
      <c r="D561" s="21" t="s">
        <v>1538</v>
      </c>
      <c r="E561" s="4">
        <v>34658504551</v>
      </c>
      <c r="F561" s="4" t="s">
        <v>689</v>
      </c>
      <c r="G561" s="32">
        <v>45973</v>
      </c>
      <c r="H561" s="4" t="s">
        <v>856</v>
      </c>
      <c r="I561" s="4" t="s">
        <v>459</v>
      </c>
      <c r="J561" s="68" t="b">
        <v>0</v>
      </c>
      <c r="K561" s="67" t="b">
        <v>1</v>
      </c>
      <c r="S561" s="4"/>
      <c r="T561" s="18"/>
      <c r="U561" s="6"/>
      <c r="V561" s="7"/>
      <c r="W561" s="4"/>
      <c r="X561" s="8"/>
    </row>
    <row r="562" spans="1:24" ht="14.5">
      <c r="A562" s="4" t="s">
        <v>5</v>
      </c>
      <c r="B562" s="4"/>
      <c r="C562" s="4" t="s">
        <v>1539</v>
      </c>
      <c r="D562" s="4" t="s">
        <v>1540</v>
      </c>
      <c r="F562" s="88" t="s">
        <v>52</v>
      </c>
      <c r="G562" s="32">
        <v>45973</v>
      </c>
      <c r="H562" s="4" t="s">
        <v>856</v>
      </c>
      <c r="I562" s="4" t="s">
        <v>459</v>
      </c>
      <c r="J562" s="68" t="b">
        <v>0</v>
      </c>
      <c r="K562" s="4"/>
      <c r="L562" s="68" t="b">
        <v>1</v>
      </c>
      <c r="M562" s="4"/>
      <c r="N562" s="4"/>
      <c r="O562" s="4"/>
      <c r="P562" s="4"/>
      <c r="Q562" s="4"/>
      <c r="R562" s="4"/>
      <c r="S562" s="8"/>
    </row>
    <row r="563" spans="1:24" ht="13.5">
      <c r="A563" s="4" t="s">
        <v>5</v>
      </c>
      <c r="B563" s="4"/>
      <c r="C563" s="4" t="s">
        <v>176</v>
      </c>
      <c r="D563" s="4" t="s">
        <v>1202</v>
      </c>
      <c r="F563" s="36" t="s">
        <v>177</v>
      </c>
      <c r="G563" s="32">
        <v>45973</v>
      </c>
      <c r="H563" s="4" t="s">
        <v>856</v>
      </c>
      <c r="I563" s="4" t="s">
        <v>448</v>
      </c>
      <c r="J563" s="68" t="b">
        <v>1</v>
      </c>
      <c r="K563" s="4"/>
      <c r="L563" s="68" t="b">
        <v>1</v>
      </c>
      <c r="M563" s="4"/>
      <c r="N563" s="4"/>
      <c r="O563" s="4"/>
      <c r="P563" s="4"/>
      <c r="Q563" s="4"/>
      <c r="R563" s="4"/>
      <c r="S563" s="4" t="s">
        <v>119</v>
      </c>
      <c r="T563" s="18">
        <v>45973</v>
      </c>
      <c r="U563" s="6">
        <v>350</v>
      </c>
      <c r="V563" s="4">
        <v>0</v>
      </c>
      <c r="W563" s="4">
        <v>1</v>
      </c>
      <c r="X563" s="8">
        <v>45658</v>
      </c>
    </row>
    <row r="564" spans="1:24" ht="13.5">
      <c r="A564" s="4" t="s">
        <v>5</v>
      </c>
      <c r="B564" s="4"/>
      <c r="C564" s="4" t="s">
        <v>1541</v>
      </c>
      <c r="D564" s="4" t="s">
        <v>183</v>
      </c>
      <c r="E564" s="4">
        <v>56989005651</v>
      </c>
      <c r="F564" s="36" t="s">
        <v>11</v>
      </c>
      <c r="G564" s="32">
        <v>45973</v>
      </c>
      <c r="H564" s="4" t="s">
        <v>856</v>
      </c>
      <c r="I564" s="4" t="s">
        <v>448</v>
      </c>
      <c r="J564" s="68" t="b">
        <v>0</v>
      </c>
      <c r="K564" s="67" t="b">
        <v>1</v>
      </c>
      <c r="L564" s="68" t="b">
        <v>1</v>
      </c>
      <c r="S564" s="4"/>
      <c r="T564" s="18"/>
      <c r="U564" s="6"/>
      <c r="V564" s="4"/>
      <c r="W564" s="4"/>
      <c r="X564" s="8"/>
    </row>
    <row r="565" spans="1:24" ht="13.5">
      <c r="A565" s="4" t="s">
        <v>5</v>
      </c>
      <c r="B565" s="4"/>
      <c r="C565" s="4" t="s">
        <v>1542</v>
      </c>
      <c r="D565" s="4" t="s">
        <v>1543</v>
      </c>
      <c r="E565" s="4">
        <v>41762320660</v>
      </c>
      <c r="F565" s="36" t="s">
        <v>40</v>
      </c>
      <c r="G565" s="32">
        <v>45974</v>
      </c>
      <c r="H565" s="4" t="s">
        <v>856</v>
      </c>
      <c r="I565" s="4" t="s">
        <v>459</v>
      </c>
      <c r="J565" s="68" t="b">
        <v>0</v>
      </c>
      <c r="K565" s="67" t="b">
        <v>1</v>
      </c>
      <c r="L565" s="68" t="b">
        <v>0</v>
      </c>
      <c r="S565" s="4"/>
      <c r="T565" s="18"/>
      <c r="U565" s="6"/>
      <c r="V565" s="4"/>
      <c r="W565" s="4"/>
      <c r="X565" s="8"/>
    </row>
    <row r="566" spans="1:24" ht="13.5">
      <c r="A566" s="4" t="s">
        <v>5</v>
      </c>
      <c r="B566" s="4"/>
      <c r="C566" s="4" t="s">
        <v>1544</v>
      </c>
      <c r="D566" s="4" t="s">
        <v>1545</v>
      </c>
      <c r="E566" s="4">
        <v>584242406640</v>
      </c>
      <c r="F566" s="36" t="s">
        <v>82</v>
      </c>
      <c r="G566" s="32">
        <v>45974</v>
      </c>
      <c r="H566" s="4" t="s">
        <v>856</v>
      </c>
      <c r="I566" s="4" t="s">
        <v>459</v>
      </c>
      <c r="J566" s="68" t="b">
        <v>0</v>
      </c>
      <c r="K566" s="67" t="b">
        <v>1</v>
      </c>
      <c r="L566" s="68" t="b">
        <v>0</v>
      </c>
      <c r="S566" s="4"/>
      <c r="T566" s="18"/>
      <c r="U566" s="6"/>
      <c r="V566" s="4"/>
      <c r="W566" s="4"/>
      <c r="X566" s="8"/>
    </row>
    <row r="567" spans="1:24" ht="13.5">
      <c r="A567" s="4" t="s">
        <v>5</v>
      </c>
      <c r="B567" s="4"/>
      <c r="C567" s="4" t="s">
        <v>1546</v>
      </c>
      <c r="D567" s="4" t="s">
        <v>1547</v>
      </c>
      <c r="E567" s="4">
        <v>34619052004</v>
      </c>
      <c r="F567" s="36" t="s">
        <v>1302</v>
      </c>
      <c r="G567" s="32">
        <v>45974</v>
      </c>
      <c r="H567" s="4" t="s">
        <v>856</v>
      </c>
      <c r="I567" s="4" t="s">
        <v>459</v>
      </c>
      <c r="J567" s="68" t="b">
        <v>0</v>
      </c>
      <c r="K567" s="67" t="b">
        <v>1</v>
      </c>
      <c r="L567" s="68" t="b">
        <v>0</v>
      </c>
      <c r="S567" s="4"/>
      <c r="T567" s="18"/>
      <c r="U567" s="6"/>
      <c r="V567" s="4"/>
      <c r="W567" s="4"/>
      <c r="X567" s="8"/>
    </row>
    <row r="568" spans="1:24" ht="13.5">
      <c r="A568" s="4" t="s">
        <v>5</v>
      </c>
      <c r="B568" s="4"/>
      <c r="C568" s="4" t="s">
        <v>1548</v>
      </c>
      <c r="D568" s="4" t="s">
        <v>1549</v>
      </c>
      <c r="E568" s="4">
        <v>34638623267</v>
      </c>
      <c r="F568" s="36" t="s">
        <v>111</v>
      </c>
      <c r="G568" s="32">
        <v>45974</v>
      </c>
      <c r="H568" s="4" t="s">
        <v>856</v>
      </c>
      <c r="I568" s="4" t="s">
        <v>459</v>
      </c>
      <c r="J568" s="68" t="b">
        <v>0</v>
      </c>
      <c r="K568" s="67" t="b">
        <v>1</v>
      </c>
      <c r="L568" s="68" t="b">
        <v>0</v>
      </c>
      <c r="S568" s="4"/>
      <c r="T568" s="18"/>
      <c r="U568" s="6"/>
      <c r="V568" s="4"/>
      <c r="W568" s="4"/>
      <c r="X568" s="8"/>
    </row>
    <row r="569" spans="1:24" ht="13.5">
      <c r="A569" s="4" t="s">
        <v>5</v>
      </c>
      <c r="B569" s="4"/>
      <c r="C569" s="4" t="s">
        <v>179</v>
      </c>
      <c r="D569" s="4" t="s">
        <v>180</v>
      </c>
      <c r="E569" s="4">
        <v>34622201926</v>
      </c>
      <c r="F569" s="36" t="s">
        <v>66</v>
      </c>
      <c r="G569" s="32">
        <v>45974</v>
      </c>
      <c r="H569" s="4" t="s">
        <v>856</v>
      </c>
      <c r="I569" s="4" t="s">
        <v>448</v>
      </c>
      <c r="J569" s="68" t="b">
        <v>0</v>
      </c>
      <c r="K569" s="67" t="b">
        <v>1</v>
      </c>
      <c r="L569" s="68" t="b">
        <v>0</v>
      </c>
      <c r="S569" s="4" t="s">
        <v>119</v>
      </c>
      <c r="T569" s="18">
        <v>45974</v>
      </c>
      <c r="U569" s="6">
        <v>275</v>
      </c>
      <c r="V569" s="4">
        <v>0</v>
      </c>
      <c r="W569" s="4">
        <v>1</v>
      </c>
      <c r="X569" s="8">
        <v>45658</v>
      </c>
    </row>
    <row r="570" spans="1:24" ht="13.5">
      <c r="A570" s="4" t="s">
        <v>5</v>
      </c>
      <c r="B570" s="4"/>
      <c r="C570" s="4" t="s">
        <v>1550</v>
      </c>
      <c r="D570" s="4" t="s">
        <v>1551</v>
      </c>
      <c r="E570" s="4">
        <v>34664129859</v>
      </c>
      <c r="F570" s="36" t="s">
        <v>1552</v>
      </c>
      <c r="G570" s="32">
        <v>45974</v>
      </c>
      <c r="H570" s="4" t="s">
        <v>856</v>
      </c>
      <c r="I570" s="4" t="s">
        <v>459</v>
      </c>
      <c r="J570" s="68" t="b">
        <v>0</v>
      </c>
      <c r="K570" s="67" t="b">
        <v>1</v>
      </c>
      <c r="L570" s="68" t="b">
        <v>0</v>
      </c>
      <c r="N570" s="67" t="b">
        <v>1</v>
      </c>
      <c r="S570" s="4"/>
      <c r="T570" s="18"/>
      <c r="U570" s="6"/>
      <c r="V570" s="4"/>
      <c r="W570" s="4"/>
      <c r="X570" s="8"/>
    </row>
    <row r="571" spans="1:24" ht="13.5">
      <c r="A571" s="4" t="s">
        <v>5</v>
      </c>
      <c r="B571" s="4" t="s">
        <v>119</v>
      </c>
      <c r="C571" s="4" t="s">
        <v>1553</v>
      </c>
      <c r="D571" s="4" t="s">
        <v>1554</v>
      </c>
      <c r="E571" s="4">
        <v>34650293248</v>
      </c>
      <c r="F571" s="36" t="s">
        <v>102</v>
      </c>
      <c r="G571" s="32">
        <v>45974</v>
      </c>
      <c r="H571" s="4" t="s">
        <v>856</v>
      </c>
      <c r="I571" s="4" t="s">
        <v>941</v>
      </c>
      <c r="J571" s="68" t="b">
        <v>0</v>
      </c>
      <c r="K571" s="67" t="b">
        <v>1</v>
      </c>
      <c r="L571" s="68" t="b">
        <v>0</v>
      </c>
      <c r="N571" s="67" t="b">
        <v>1</v>
      </c>
      <c r="S571" s="4"/>
      <c r="T571" s="18"/>
      <c r="U571" s="6"/>
      <c r="V571" s="4"/>
      <c r="W571" s="4"/>
      <c r="X571" s="8"/>
    </row>
    <row r="572" spans="1:24" ht="14">
      <c r="A572" s="4" t="s">
        <v>5</v>
      </c>
      <c r="B572" s="4"/>
      <c r="C572" s="4" t="s">
        <v>182</v>
      </c>
      <c r="D572" s="21" t="s">
        <v>183</v>
      </c>
      <c r="E572" s="4" t="s">
        <v>184</v>
      </c>
      <c r="F572" s="4" t="s">
        <v>11</v>
      </c>
      <c r="G572" s="4" t="s">
        <v>181</v>
      </c>
      <c r="H572" s="4" t="s">
        <v>856</v>
      </c>
      <c r="I572" s="4" t="s">
        <v>448</v>
      </c>
      <c r="J572" s="68" t="b">
        <v>0</v>
      </c>
      <c r="K572" s="67" t="b">
        <v>1</v>
      </c>
      <c r="L572" s="68" t="b">
        <v>0</v>
      </c>
      <c r="S572" s="4" t="s">
        <v>119</v>
      </c>
      <c r="T572" s="18">
        <v>45974</v>
      </c>
      <c r="U572" s="6">
        <v>275</v>
      </c>
      <c r="V572" s="4">
        <v>0</v>
      </c>
      <c r="W572" s="4">
        <v>1</v>
      </c>
      <c r="X572" s="8">
        <v>45658</v>
      </c>
    </row>
    <row r="573" spans="1:24" ht="13.5">
      <c r="A573" s="4" t="s">
        <v>5</v>
      </c>
      <c r="B573" s="4"/>
      <c r="C573" s="4" t="s">
        <v>189</v>
      </c>
      <c r="D573" s="4" t="s">
        <v>190</v>
      </c>
      <c r="E573" s="4">
        <v>34681159043</v>
      </c>
      <c r="F573" s="36" t="s">
        <v>191</v>
      </c>
      <c r="G573" s="32">
        <v>45975</v>
      </c>
      <c r="H573" s="4" t="s">
        <v>856</v>
      </c>
      <c r="I573" s="4" t="s">
        <v>448</v>
      </c>
      <c r="J573" s="68" t="b">
        <v>0</v>
      </c>
      <c r="K573" s="67" t="b">
        <v>1</v>
      </c>
      <c r="L573" s="68" t="b">
        <v>0</v>
      </c>
      <c r="N573" s="67" t="b">
        <v>1</v>
      </c>
      <c r="S573" s="4" t="s">
        <v>119</v>
      </c>
      <c r="T573" s="18">
        <v>45978</v>
      </c>
      <c r="U573" s="6">
        <v>216</v>
      </c>
      <c r="V573" s="4">
        <v>0</v>
      </c>
      <c r="W573" s="4">
        <v>1</v>
      </c>
      <c r="X573" s="8">
        <v>45658</v>
      </c>
    </row>
    <row r="574" spans="1:24" ht="13.5">
      <c r="A574" s="4" t="s">
        <v>5</v>
      </c>
      <c r="B574" s="4"/>
      <c r="C574" s="4" t="s">
        <v>1555</v>
      </c>
      <c r="D574" s="4" t="s">
        <v>1556</v>
      </c>
      <c r="E574" s="4">
        <v>34674937011</v>
      </c>
      <c r="F574" s="36" t="s">
        <v>395</v>
      </c>
      <c r="G574" s="32">
        <v>45975</v>
      </c>
      <c r="H574" s="4" t="s">
        <v>856</v>
      </c>
      <c r="I574" s="4" t="s">
        <v>459</v>
      </c>
      <c r="J574" s="68" t="b">
        <v>0</v>
      </c>
      <c r="K574" s="67" t="b">
        <v>1</v>
      </c>
      <c r="L574" s="68" t="b">
        <v>0</v>
      </c>
      <c r="N574" s="67" t="b">
        <v>1</v>
      </c>
      <c r="S574" s="4"/>
      <c r="T574" s="18"/>
      <c r="U574" s="6"/>
      <c r="V574" s="4"/>
      <c r="W574" s="4"/>
      <c r="X574" s="8"/>
    </row>
    <row r="575" spans="1:24" ht="13.5">
      <c r="A575" s="4" t="s">
        <v>5</v>
      </c>
      <c r="B575" s="4"/>
      <c r="C575" s="4" t="s">
        <v>1557</v>
      </c>
      <c r="D575" s="4" t="s">
        <v>1558</v>
      </c>
      <c r="E575" s="4">
        <v>34659732073</v>
      </c>
      <c r="F575" s="36" t="s">
        <v>56</v>
      </c>
      <c r="G575" s="32">
        <v>45975</v>
      </c>
      <c r="H575" s="4" t="s">
        <v>856</v>
      </c>
      <c r="I575" s="4" t="s">
        <v>459</v>
      </c>
      <c r="J575" s="68" t="b">
        <v>0</v>
      </c>
      <c r="K575" s="67" t="b">
        <v>0</v>
      </c>
      <c r="L575" s="68" t="b">
        <v>1</v>
      </c>
      <c r="S575" s="4"/>
      <c r="T575" s="18"/>
      <c r="U575" s="6"/>
      <c r="V575" s="4"/>
      <c r="W575" s="4"/>
      <c r="X575" s="8"/>
    </row>
    <row r="576" spans="1:24" ht="13.5">
      <c r="A576" s="4" t="s">
        <v>5</v>
      </c>
      <c r="B576" s="4"/>
      <c r="C576" s="4" t="s">
        <v>1559</v>
      </c>
      <c r="D576" s="4" t="s">
        <v>1560</v>
      </c>
      <c r="E576" s="4">
        <v>34663228333</v>
      </c>
      <c r="F576" s="36" t="s">
        <v>338</v>
      </c>
      <c r="G576" s="32">
        <v>45975</v>
      </c>
      <c r="H576" s="4" t="s">
        <v>956</v>
      </c>
      <c r="I576" s="4" t="s">
        <v>459</v>
      </c>
      <c r="J576" s="68" t="b">
        <v>0</v>
      </c>
      <c r="K576" s="67" t="b">
        <v>1</v>
      </c>
      <c r="L576" s="4"/>
      <c r="M576" s="4"/>
      <c r="N576" s="67" t="b">
        <v>1</v>
      </c>
      <c r="O576" s="4"/>
      <c r="P576" s="4"/>
      <c r="Q576" s="4"/>
      <c r="R576" s="4"/>
      <c r="S576" s="8"/>
    </row>
    <row r="577" spans="1:24" ht="14">
      <c r="A577" s="4" t="s">
        <v>5</v>
      </c>
      <c r="B577" s="4"/>
      <c r="C577" s="4" t="s">
        <v>1561</v>
      </c>
      <c r="D577" s="21" t="s">
        <v>1562</v>
      </c>
      <c r="E577" s="4">
        <v>34678367444</v>
      </c>
      <c r="F577" s="4" t="s">
        <v>211</v>
      </c>
      <c r="G577" s="32">
        <v>45975</v>
      </c>
      <c r="H577" s="4" t="s">
        <v>856</v>
      </c>
      <c r="I577" s="4" t="s">
        <v>448</v>
      </c>
      <c r="J577" s="68" t="b">
        <v>0</v>
      </c>
      <c r="K577" s="67" t="b">
        <v>1</v>
      </c>
      <c r="N577" s="67" t="b">
        <v>1</v>
      </c>
      <c r="S577" s="4" t="s">
        <v>119</v>
      </c>
      <c r="T577" s="18">
        <v>45982</v>
      </c>
      <c r="U577" s="6">
        <v>245</v>
      </c>
      <c r="W577" s="4">
        <v>1</v>
      </c>
      <c r="X577" s="8">
        <v>46023</v>
      </c>
    </row>
    <row r="578" spans="1:24" ht="14">
      <c r="A578" s="4" t="s">
        <v>381</v>
      </c>
      <c r="B578" s="4"/>
      <c r="C578" s="4" t="s">
        <v>1563</v>
      </c>
      <c r="D578" s="21" t="s">
        <v>1564</v>
      </c>
      <c r="E578" s="4">
        <v>50686020449</v>
      </c>
      <c r="F578" s="4" t="s">
        <v>1383</v>
      </c>
      <c r="G578" s="32">
        <v>45975</v>
      </c>
      <c r="H578" s="4" t="s">
        <v>856</v>
      </c>
      <c r="I578" s="4" t="s">
        <v>459</v>
      </c>
      <c r="J578" s="68" t="b">
        <v>0</v>
      </c>
      <c r="K578" s="67" t="b">
        <v>1</v>
      </c>
      <c r="S578" s="8"/>
    </row>
    <row r="579" spans="1:24" ht="14">
      <c r="A579" s="4" t="s">
        <v>5</v>
      </c>
      <c r="B579" s="4"/>
      <c r="C579" s="4" t="s">
        <v>1565</v>
      </c>
      <c r="D579" s="21" t="s">
        <v>1566</v>
      </c>
      <c r="E579" s="4">
        <v>34685711096</v>
      </c>
      <c r="F579" s="4" t="s">
        <v>488</v>
      </c>
      <c r="G579" s="32">
        <v>45976</v>
      </c>
      <c r="H579" s="4" t="s">
        <v>856</v>
      </c>
      <c r="I579" s="4" t="s">
        <v>459</v>
      </c>
      <c r="J579" s="4"/>
      <c r="K579" s="67" t="b">
        <v>1</v>
      </c>
      <c r="S579" s="8"/>
    </row>
    <row r="580" spans="1:24" ht="14">
      <c r="A580" s="4" t="s">
        <v>5</v>
      </c>
      <c r="B580" s="4"/>
      <c r="C580" s="4" t="s">
        <v>1567</v>
      </c>
      <c r="D580" s="21" t="s">
        <v>209</v>
      </c>
      <c r="E580" s="4">
        <v>34646087844</v>
      </c>
      <c r="F580" s="4" t="s">
        <v>387</v>
      </c>
      <c r="G580" s="32">
        <v>45976</v>
      </c>
      <c r="H580" s="4" t="s">
        <v>856</v>
      </c>
      <c r="I580" s="4" t="s">
        <v>459</v>
      </c>
      <c r="K580" s="67" t="b">
        <v>1</v>
      </c>
      <c r="S580" s="8"/>
    </row>
    <row r="581" spans="1:24" ht="14">
      <c r="A581" s="4" t="s">
        <v>5</v>
      </c>
      <c r="B581" s="4"/>
      <c r="C581" s="4" t="s">
        <v>1568</v>
      </c>
      <c r="D581" s="21" t="s">
        <v>1569</v>
      </c>
      <c r="E581" s="4">
        <v>523317897976</v>
      </c>
      <c r="F581" s="4" t="s">
        <v>332</v>
      </c>
      <c r="G581" s="32">
        <v>45977</v>
      </c>
      <c r="H581" s="4" t="s">
        <v>856</v>
      </c>
      <c r="I581" s="4" t="s">
        <v>459</v>
      </c>
      <c r="K581" s="67" t="b">
        <v>1</v>
      </c>
      <c r="S581" s="8"/>
    </row>
    <row r="582" spans="1:24" ht="14">
      <c r="A582" s="4" t="s">
        <v>5</v>
      </c>
      <c r="B582" s="4"/>
      <c r="C582" s="4" t="s">
        <v>185</v>
      </c>
      <c r="D582" s="21" t="s">
        <v>186</v>
      </c>
      <c r="E582" s="4">
        <v>14322769336</v>
      </c>
      <c r="F582" s="4" t="s">
        <v>140</v>
      </c>
      <c r="G582" s="32">
        <v>45978</v>
      </c>
      <c r="H582" s="4" t="s">
        <v>856</v>
      </c>
      <c r="I582" s="4" t="s">
        <v>448</v>
      </c>
      <c r="J582" s="68" t="b">
        <v>1</v>
      </c>
      <c r="K582" s="67" t="b">
        <v>1</v>
      </c>
      <c r="S582" s="4" t="s">
        <v>119</v>
      </c>
      <c r="T582" s="18">
        <v>45978</v>
      </c>
      <c r="U582" s="6">
        <v>99</v>
      </c>
      <c r="V582" s="4">
        <v>0</v>
      </c>
      <c r="W582" s="4">
        <v>1</v>
      </c>
      <c r="X582" s="8">
        <v>45658</v>
      </c>
    </row>
    <row r="583" spans="1:24" ht="14">
      <c r="A583" s="4" t="s">
        <v>5</v>
      </c>
      <c r="B583" s="4"/>
      <c r="C583" s="4" t="s">
        <v>1570</v>
      </c>
      <c r="D583" s="21" t="s">
        <v>1571</v>
      </c>
      <c r="E583" s="4">
        <v>34621278816</v>
      </c>
      <c r="F583" s="4" t="s">
        <v>8</v>
      </c>
      <c r="G583" s="32">
        <v>45978</v>
      </c>
      <c r="H583" s="4" t="s">
        <v>856</v>
      </c>
      <c r="I583" s="4" t="s">
        <v>459</v>
      </c>
      <c r="K583" s="67" t="b">
        <v>1</v>
      </c>
      <c r="S583" s="8"/>
    </row>
    <row r="584" spans="1:24" ht="12.5">
      <c r="A584" s="4" t="s">
        <v>5</v>
      </c>
      <c r="B584" s="20"/>
      <c r="C584" s="20" t="s">
        <v>187</v>
      </c>
      <c r="E584" s="4" t="s">
        <v>188</v>
      </c>
      <c r="F584" s="20" t="s">
        <v>56</v>
      </c>
      <c r="G584" s="32">
        <v>45978</v>
      </c>
      <c r="H584" s="4" t="s">
        <v>856</v>
      </c>
      <c r="I584" s="4" t="s">
        <v>448</v>
      </c>
      <c r="J584" s="4"/>
      <c r="K584" s="4"/>
      <c r="L584" s="4"/>
      <c r="M584" s="4"/>
      <c r="N584" s="4"/>
      <c r="O584" s="4"/>
      <c r="P584" s="4"/>
      <c r="Q584" s="4"/>
      <c r="R584" s="4"/>
      <c r="S584" s="4" t="s">
        <v>34</v>
      </c>
      <c r="T584" s="18">
        <v>45978</v>
      </c>
      <c r="U584" s="6">
        <v>95</v>
      </c>
      <c r="V584" s="4">
        <v>0</v>
      </c>
      <c r="W584" s="4">
        <v>1</v>
      </c>
      <c r="X584" s="8">
        <v>45658</v>
      </c>
    </row>
    <row r="585" spans="1:24" ht="12.5">
      <c r="A585" s="4" t="s">
        <v>5</v>
      </c>
      <c r="B585" s="89"/>
      <c r="C585" s="89" t="s">
        <v>1572</v>
      </c>
      <c r="D585" s="4" t="s">
        <v>1573</v>
      </c>
      <c r="E585" s="4">
        <v>50689452021</v>
      </c>
      <c r="F585" s="89" t="s">
        <v>1307</v>
      </c>
      <c r="G585" s="32">
        <v>45978</v>
      </c>
      <c r="H585" s="4" t="s">
        <v>856</v>
      </c>
      <c r="I585" s="4" t="s">
        <v>459</v>
      </c>
      <c r="S585" s="4"/>
      <c r="T585" s="18"/>
      <c r="U585" s="6"/>
      <c r="V585" s="4"/>
      <c r="W585" s="4"/>
      <c r="X585" s="8"/>
    </row>
    <row r="586" spans="1:24" ht="12.5">
      <c r="A586" s="4" t="s">
        <v>5</v>
      </c>
      <c r="B586" s="89"/>
      <c r="C586" s="89" t="s">
        <v>1574</v>
      </c>
      <c r="D586" s="4" t="s">
        <v>1575</v>
      </c>
      <c r="E586" s="4">
        <v>491626495654</v>
      </c>
      <c r="F586" s="89" t="s">
        <v>210</v>
      </c>
      <c r="G586" s="32">
        <v>45979</v>
      </c>
      <c r="H586" s="4" t="s">
        <v>856</v>
      </c>
      <c r="I586" s="4" t="s">
        <v>459</v>
      </c>
      <c r="S586" s="4"/>
      <c r="T586" s="18"/>
      <c r="U586" s="6"/>
      <c r="V586" s="4"/>
      <c r="W586" s="4"/>
      <c r="X586" s="8"/>
    </row>
    <row r="587" spans="1:24" ht="12.5">
      <c r="A587" s="4" t="s">
        <v>5</v>
      </c>
      <c r="B587" s="4"/>
      <c r="C587" s="4" t="s">
        <v>1576</v>
      </c>
      <c r="E587" s="4" t="s">
        <v>1577</v>
      </c>
      <c r="G587" s="32">
        <v>45979</v>
      </c>
      <c r="H587" s="4" t="s">
        <v>856</v>
      </c>
      <c r="I587" s="4" t="s">
        <v>459</v>
      </c>
      <c r="J587" s="4"/>
      <c r="K587" s="4"/>
      <c r="L587" s="4"/>
      <c r="M587" s="4"/>
      <c r="N587" s="4"/>
      <c r="O587" s="4"/>
      <c r="P587" s="4"/>
      <c r="Q587" s="4"/>
      <c r="R587" s="4"/>
      <c r="S587" s="8"/>
    </row>
    <row r="588" spans="1:24" ht="12.5">
      <c r="A588" s="4" t="s">
        <v>5</v>
      </c>
      <c r="B588" s="4"/>
      <c r="C588" s="4" t="s">
        <v>1578</v>
      </c>
      <c r="D588" s="4" t="s">
        <v>1579</v>
      </c>
      <c r="E588" s="4">
        <v>34674596488</v>
      </c>
      <c r="F588" s="4" t="s">
        <v>284</v>
      </c>
      <c r="G588" s="32">
        <v>45979</v>
      </c>
      <c r="H588" s="4" t="s">
        <v>856</v>
      </c>
      <c r="I588" s="4" t="s">
        <v>941</v>
      </c>
      <c r="K588" s="67" t="b">
        <v>1</v>
      </c>
      <c r="S588" s="8"/>
    </row>
    <row r="589" spans="1:24" ht="12.5">
      <c r="A589" s="4" t="s">
        <v>5</v>
      </c>
      <c r="B589" s="4"/>
      <c r="C589" s="4" t="s">
        <v>1580</v>
      </c>
      <c r="D589" s="4" t="s">
        <v>1581</v>
      </c>
      <c r="E589" s="4">
        <v>5061111111</v>
      </c>
      <c r="F589" s="4" t="s">
        <v>1582</v>
      </c>
      <c r="G589" s="32">
        <v>45979</v>
      </c>
      <c r="H589" s="4" t="s">
        <v>856</v>
      </c>
      <c r="I589" s="4" t="s">
        <v>459</v>
      </c>
      <c r="K589" s="67" t="b">
        <v>1</v>
      </c>
      <c r="S589" s="8"/>
    </row>
    <row r="590" spans="1:24" ht="12.5">
      <c r="A590" s="4" t="s">
        <v>5</v>
      </c>
      <c r="B590" s="4"/>
      <c r="C590" s="4" t="s">
        <v>1583</v>
      </c>
      <c r="D590" s="4" t="s">
        <v>1584</v>
      </c>
      <c r="E590" s="4">
        <v>34629732050</v>
      </c>
      <c r="F590" s="4" t="s">
        <v>27</v>
      </c>
      <c r="G590" s="32">
        <v>45979</v>
      </c>
      <c r="H590" s="4" t="s">
        <v>856</v>
      </c>
      <c r="I590" s="4" t="s">
        <v>459</v>
      </c>
      <c r="K590" s="67" t="b">
        <v>1</v>
      </c>
      <c r="S590" s="8"/>
    </row>
    <row r="591" spans="1:24" ht="14">
      <c r="A591" s="4" t="s">
        <v>5</v>
      </c>
      <c r="B591" s="4"/>
      <c r="C591" s="4" t="s">
        <v>192</v>
      </c>
      <c r="D591" s="21" t="s">
        <v>193</v>
      </c>
      <c r="E591" s="4" t="s">
        <v>194</v>
      </c>
      <c r="F591" s="20" t="s">
        <v>195</v>
      </c>
      <c r="G591" s="32">
        <v>45979</v>
      </c>
      <c r="H591" s="4" t="s">
        <v>956</v>
      </c>
      <c r="I591" s="4" t="s">
        <v>448</v>
      </c>
      <c r="J591" s="4"/>
      <c r="K591" s="67" t="b">
        <v>1</v>
      </c>
      <c r="L591" s="4"/>
      <c r="M591" s="4"/>
      <c r="N591" s="4"/>
      <c r="O591" s="4"/>
      <c r="P591" s="4"/>
      <c r="Q591" s="4"/>
      <c r="R591" s="4"/>
      <c r="S591" s="4" t="s">
        <v>119</v>
      </c>
      <c r="T591" s="18">
        <v>45979</v>
      </c>
      <c r="U591" s="6">
        <v>250</v>
      </c>
      <c r="V591" s="4">
        <v>0</v>
      </c>
      <c r="W591" s="4">
        <v>1</v>
      </c>
      <c r="X591" s="8">
        <v>45658</v>
      </c>
    </row>
    <row r="592" spans="1:24" ht="12.5">
      <c r="A592" s="4" t="s">
        <v>381</v>
      </c>
      <c r="E592" s="4" t="s">
        <v>1585</v>
      </c>
      <c r="F592" s="4" t="s">
        <v>1150</v>
      </c>
      <c r="G592" s="32">
        <v>45979</v>
      </c>
      <c r="H592" s="4" t="s">
        <v>956</v>
      </c>
      <c r="I592" s="4" t="s">
        <v>459</v>
      </c>
      <c r="J592" s="4"/>
      <c r="K592" s="67" t="b">
        <v>1</v>
      </c>
      <c r="L592" s="4"/>
      <c r="M592" s="4"/>
      <c r="N592" s="4"/>
      <c r="O592" s="4"/>
      <c r="P592" s="4"/>
      <c r="Q592" s="4"/>
      <c r="R592" s="4"/>
      <c r="S592" s="8"/>
    </row>
    <row r="593" spans="1:24" ht="12.5">
      <c r="A593" s="4" t="s">
        <v>381</v>
      </c>
      <c r="B593" s="4"/>
      <c r="C593" s="4" t="s">
        <v>1586</v>
      </c>
      <c r="E593" s="4" t="s">
        <v>1587</v>
      </c>
      <c r="F593" s="4" t="s">
        <v>1588</v>
      </c>
      <c r="G593" s="32">
        <v>45980</v>
      </c>
      <c r="H593" s="4" t="s">
        <v>956</v>
      </c>
      <c r="I593" s="4" t="s">
        <v>459</v>
      </c>
      <c r="J593" s="4"/>
      <c r="K593" s="67" t="b">
        <v>1</v>
      </c>
      <c r="L593" s="4"/>
      <c r="M593" s="4"/>
      <c r="N593" s="4"/>
      <c r="O593" s="4"/>
      <c r="P593" s="4"/>
      <c r="Q593" s="4"/>
      <c r="R593" s="4"/>
      <c r="S593" s="8"/>
    </row>
    <row r="594" spans="1:24" ht="14">
      <c r="A594" s="4" t="s">
        <v>5</v>
      </c>
      <c r="B594" s="4"/>
      <c r="C594" s="4" t="s">
        <v>198</v>
      </c>
      <c r="D594" s="21" t="s">
        <v>199</v>
      </c>
      <c r="E594" s="4" t="s">
        <v>200</v>
      </c>
      <c r="F594" s="4" t="s">
        <v>8</v>
      </c>
      <c r="G594" s="32">
        <v>45980</v>
      </c>
      <c r="H594" s="4" t="s">
        <v>956</v>
      </c>
      <c r="I594" s="4" t="s">
        <v>448</v>
      </c>
      <c r="J594" s="4"/>
      <c r="K594" s="67" t="b">
        <v>1</v>
      </c>
      <c r="L594" s="4"/>
      <c r="M594" s="4"/>
      <c r="N594" s="67" t="b">
        <v>1</v>
      </c>
      <c r="O594" s="4"/>
      <c r="P594" s="4"/>
      <c r="Q594" s="4"/>
      <c r="R594" s="4"/>
      <c r="S594" s="4" t="s">
        <v>119</v>
      </c>
      <c r="T594" s="18">
        <v>45981</v>
      </c>
      <c r="U594" s="6">
        <v>299</v>
      </c>
      <c r="V594" s="4">
        <v>0</v>
      </c>
      <c r="W594" s="4">
        <v>1</v>
      </c>
      <c r="X594" s="8">
        <v>45658</v>
      </c>
    </row>
    <row r="595" spans="1:24" ht="12.5">
      <c r="A595" s="4" t="s">
        <v>5</v>
      </c>
      <c r="B595" s="4"/>
      <c r="C595" s="4" t="s">
        <v>196</v>
      </c>
      <c r="D595" s="4" t="s">
        <v>197</v>
      </c>
      <c r="E595" s="4">
        <v>351960189994</v>
      </c>
      <c r="F595" s="4" t="s">
        <v>102</v>
      </c>
      <c r="G595" s="32">
        <v>45980</v>
      </c>
      <c r="H595" s="4" t="s">
        <v>856</v>
      </c>
      <c r="I595" s="4" t="s">
        <v>448</v>
      </c>
      <c r="K595" s="67" t="b">
        <v>1</v>
      </c>
      <c r="N595" s="67" t="b">
        <v>1</v>
      </c>
      <c r="S595" s="4" t="s">
        <v>119</v>
      </c>
      <c r="T595" s="18">
        <v>45981</v>
      </c>
      <c r="U595" s="6">
        <v>395</v>
      </c>
      <c r="V595" s="4">
        <v>0</v>
      </c>
      <c r="W595" s="4">
        <v>1</v>
      </c>
      <c r="X595" s="8">
        <v>45658</v>
      </c>
    </row>
    <row r="596" spans="1:24" ht="12.5">
      <c r="A596" s="4" t="s">
        <v>5</v>
      </c>
      <c r="B596" s="4"/>
      <c r="C596" s="4" t="s">
        <v>1589</v>
      </c>
      <c r="D596" s="4" t="s">
        <v>1590</v>
      </c>
      <c r="E596" s="4">
        <v>34642770205</v>
      </c>
      <c r="F596" s="4" t="s">
        <v>56</v>
      </c>
      <c r="G596" s="32">
        <v>45980</v>
      </c>
      <c r="H596" s="4" t="s">
        <v>856</v>
      </c>
      <c r="I596" s="4" t="s">
        <v>459</v>
      </c>
      <c r="K596" s="67" t="b">
        <v>1</v>
      </c>
      <c r="S596" s="8"/>
    </row>
    <row r="597" spans="1:24" ht="12.5">
      <c r="A597" s="4" t="s">
        <v>5</v>
      </c>
      <c r="B597" s="4"/>
      <c r="C597" s="4" t="s">
        <v>1591</v>
      </c>
      <c r="D597" s="4" t="s">
        <v>1592</v>
      </c>
      <c r="E597" s="4">
        <v>34679204020</v>
      </c>
      <c r="F597" s="4" t="s">
        <v>395</v>
      </c>
      <c r="G597" s="32">
        <v>45980</v>
      </c>
      <c r="H597" s="4" t="s">
        <v>856</v>
      </c>
      <c r="I597" s="4" t="s">
        <v>459</v>
      </c>
      <c r="K597" s="67" t="b">
        <v>1</v>
      </c>
      <c r="S597" s="8"/>
    </row>
    <row r="598" spans="1:24" ht="12.5">
      <c r="A598" s="4" t="s">
        <v>5</v>
      </c>
      <c r="B598" s="4"/>
      <c r="C598" s="4" t="s">
        <v>1593</v>
      </c>
      <c r="D598" s="4" t="s">
        <v>1594</v>
      </c>
      <c r="E598" s="4">
        <v>34639096383</v>
      </c>
      <c r="F598" s="4" t="s">
        <v>233</v>
      </c>
      <c r="G598" s="32">
        <v>45981</v>
      </c>
      <c r="H598" s="4" t="s">
        <v>856</v>
      </c>
      <c r="I598" s="4" t="s">
        <v>459</v>
      </c>
      <c r="K598" s="67" t="b">
        <v>1</v>
      </c>
      <c r="S598" s="8"/>
    </row>
    <row r="599" spans="1:24" ht="12.5">
      <c r="A599" s="4" t="s">
        <v>5</v>
      </c>
      <c r="B599" s="4"/>
      <c r="C599" s="4" t="s">
        <v>1595</v>
      </c>
      <c r="D599" s="4" t="s">
        <v>1596</v>
      </c>
      <c r="E599" s="4">
        <v>34626213900</v>
      </c>
      <c r="F599" s="4" t="s">
        <v>386</v>
      </c>
      <c r="G599" s="32">
        <v>45981</v>
      </c>
      <c r="H599" s="4" t="s">
        <v>856</v>
      </c>
      <c r="I599" s="4" t="s">
        <v>459</v>
      </c>
      <c r="K599" s="67" t="b">
        <v>1</v>
      </c>
      <c r="S599" s="8"/>
    </row>
    <row r="600" spans="1:24" ht="12.5">
      <c r="A600" s="4" t="s">
        <v>381</v>
      </c>
      <c r="B600" s="4"/>
      <c r="C600" s="4" t="s">
        <v>1597</v>
      </c>
      <c r="D600" s="4" t="s">
        <v>1598</v>
      </c>
      <c r="E600" s="4">
        <v>573212591106</v>
      </c>
      <c r="F600" s="4" t="s">
        <v>1599</v>
      </c>
      <c r="G600" s="32">
        <v>45981</v>
      </c>
      <c r="H600" s="4" t="s">
        <v>856</v>
      </c>
      <c r="I600" s="4" t="s">
        <v>459</v>
      </c>
      <c r="K600" s="67" t="b">
        <v>0</v>
      </c>
      <c r="L600" s="68" t="b">
        <v>1</v>
      </c>
      <c r="S600" s="8"/>
    </row>
    <row r="601" spans="1:24" ht="12.5">
      <c r="A601" s="4" t="s">
        <v>5</v>
      </c>
      <c r="B601" s="4"/>
      <c r="C601" s="4" t="s">
        <v>1600</v>
      </c>
      <c r="D601" s="4" t="s">
        <v>1601</v>
      </c>
      <c r="E601" s="4">
        <v>34618638379</v>
      </c>
      <c r="F601" s="4" t="s">
        <v>70</v>
      </c>
      <c r="G601" s="32">
        <v>45981</v>
      </c>
      <c r="H601" s="4" t="s">
        <v>856</v>
      </c>
      <c r="I601" s="4" t="s">
        <v>459</v>
      </c>
      <c r="K601" s="67" t="b">
        <v>1</v>
      </c>
      <c r="S601" s="8"/>
    </row>
    <row r="602" spans="1:24" ht="12.5">
      <c r="A602" s="4" t="s">
        <v>5</v>
      </c>
      <c r="B602" s="4"/>
      <c r="C602" s="4" t="s">
        <v>201</v>
      </c>
      <c r="D602" s="4" t="s">
        <v>202</v>
      </c>
      <c r="E602" s="4">
        <v>34722433511</v>
      </c>
      <c r="F602" s="4" t="s">
        <v>70</v>
      </c>
      <c r="G602" s="32">
        <v>45981</v>
      </c>
      <c r="H602" s="4" t="s">
        <v>856</v>
      </c>
      <c r="I602" s="4" t="s">
        <v>459</v>
      </c>
      <c r="K602" s="67" t="b">
        <v>1</v>
      </c>
      <c r="S602" s="8"/>
    </row>
    <row r="603" spans="1:24" ht="12.5">
      <c r="A603" s="4" t="s">
        <v>5</v>
      </c>
      <c r="B603" s="4"/>
      <c r="C603" s="4" t="s">
        <v>1602</v>
      </c>
      <c r="E603" s="4" t="s">
        <v>1603</v>
      </c>
      <c r="F603" s="4" t="s">
        <v>1604</v>
      </c>
      <c r="G603" s="32">
        <v>45981</v>
      </c>
      <c r="H603" s="4" t="s">
        <v>979</v>
      </c>
      <c r="I603" s="4" t="s">
        <v>459</v>
      </c>
      <c r="J603" s="4"/>
      <c r="K603" s="67" t="b">
        <v>1</v>
      </c>
      <c r="L603" s="4"/>
      <c r="M603" s="4"/>
      <c r="N603" s="4"/>
      <c r="O603" s="4"/>
      <c r="P603" s="4"/>
      <c r="Q603" s="4"/>
      <c r="R603" s="4"/>
      <c r="S603" s="8"/>
    </row>
    <row r="604" spans="1:24" ht="14">
      <c r="A604" s="4" t="s">
        <v>5</v>
      </c>
      <c r="B604" s="4"/>
      <c r="C604" s="4" t="s">
        <v>203</v>
      </c>
      <c r="D604" s="21" t="s">
        <v>204</v>
      </c>
      <c r="F604" s="37" t="s">
        <v>205</v>
      </c>
      <c r="G604" s="32">
        <v>45981</v>
      </c>
      <c r="H604" s="4" t="s">
        <v>856</v>
      </c>
      <c r="I604" s="4" t="s">
        <v>448</v>
      </c>
      <c r="J604" s="4"/>
      <c r="K604" s="67" t="b">
        <v>1</v>
      </c>
      <c r="L604" s="4"/>
      <c r="M604" s="4"/>
      <c r="N604" s="4"/>
      <c r="O604" s="4"/>
      <c r="P604" s="4"/>
      <c r="Q604" s="4"/>
      <c r="R604" s="4"/>
      <c r="S604" s="4" t="s">
        <v>34</v>
      </c>
      <c r="T604" s="18">
        <v>45981</v>
      </c>
      <c r="U604" s="6">
        <v>395</v>
      </c>
      <c r="V604" s="4">
        <v>0</v>
      </c>
      <c r="W604" s="4">
        <v>1</v>
      </c>
      <c r="X604" s="8">
        <v>45658</v>
      </c>
    </row>
    <row r="605" spans="1:24" ht="14">
      <c r="A605" s="4" t="s">
        <v>381</v>
      </c>
      <c r="B605" s="4"/>
      <c r="C605" s="4" t="s">
        <v>1605</v>
      </c>
      <c r="D605" s="21" t="s">
        <v>1606</v>
      </c>
      <c r="E605" s="4">
        <v>34661294353</v>
      </c>
      <c r="F605" s="37" t="s">
        <v>1607</v>
      </c>
      <c r="G605" s="32">
        <v>45981</v>
      </c>
      <c r="H605" s="4" t="s">
        <v>856</v>
      </c>
      <c r="I605" s="4" t="s">
        <v>459</v>
      </c>
      <c r="K605" s="67" t="b">
        <v>1</v>
      </c>
      <c r="N605" s="67" t="b">
        <v>1</v>
      </c>
      <c r="S605" s="4"/>
      <c r="T605" s="18"/>
      <c r="U605" s="6"/>
      <c r="V605" s="4"/>
      <c r="W605" s="4"/>
      <c r="X605" s="8"/>
    </row>
    <row r="606" spans="1:24" ht="14">
      <c r="A606" s="4" t="s">
        <v>5</v>
      </c>
      <c r="B606" s="4"/>
      <c r="C606" s="4" t="s">
        <v>1608</v>
      </c>
      <c r="D606" s="21" t="s">
        <v>1609</v>
      </c>
      <c r="E606" s="4">
        <v>34687543860</v>
      </c>
      <c r="F606" s="37" t="s">
        <v>233</v>
      </c>
      <c r="G606" s="32">
        <v>45981</v>
      </c>
      <c r="H606" s="4" t="s">
        <v>856</v>
      </c>
      <c r="I606" s="4" t="s">
        <v>459</v>
      </c>
      <c r="K606" s="67" t="b">
        <v>1</v>
      </c>
      <c r="N606" s="67" t="b">
        <v>1</v>
      </c>
      <c r="S606" s="4"/>
      <c r="T606" s="18"/>
      <c r="U606" s="6"/>
      <c r="V606" s="4"/>
      <c r="W606" s="4"/>
      <c r="X606" s="8"/>
    </row>
    <row r="607" spans="1:24" ht="14">
      <c r="A607" s="4" t="s">
        <v>5</v>
      </c>
      <c r="B607" s="4"/>
      <c r="C607" s="4" t="s">
        <v>1610</v>
      </c>
      <c r="D607" s="21" t="s">
        <v>1611</v>
      </c>
      <c r="E607" s="4">
        <v>34659781295</v>
      </c>
      <c r="F607" s="37" t="s">
        <v>83</v>
      </c>
      <c r="G607" s="32">
        <v>45982</v>
      </c>
      <c r="H607" s="4" t="s">
        <v>856</v>
      </c>
      <c r="I607" s="4" t="s">
        <v>886</v>
      </c>
      <c r="K607" s="67" t="b">
        <v>1</v>
      </c>
      <c r="N607" s="67" t="b">
        <v>1</v>
      </c>
      <c r="S607" s="4"/>
      <c r="T607" s="18"/>
      <c r="U607" s="6"/>
      <c r="V607" s="4"/>
      <c r="W607" s="4"/>
      <c r="X607" s="8"/>
    </row>
    <row r="608" spans="1:24" ht="14">
      <c r="A608" s="4" t="s">
        <v>5</v>
      </c>
      <c r="B608" s="4"/>
      <c r="C608" s="4" t="s">
        <v>1612</v>
      </c>
      <c r="D608" s="21" t="s">
        <v>1613</v>
      </c>
      <c r="E608" s="4">
        <v>573136436197</v>
      </c>
      <c r="F608" s="37" t="s">
        <v>66</v>
      </c>
      <c r="G608" s="32">
        <v>45982</v>
      </c>
      <c r="H608" s="4" t="s">
        <v>856</v>
      </c>
      <c r="I608" s="4" t="s">
        <v>459</v>
      </c>
      <c r="K608" s="67" t="b">
        <v>1</v>
      </c>
      <c r="S608" s="4"/>
      <c r="T608" s="18"/>
      <c r="U608" s="6"/>
      <c r="V608" s="4"/>
      <c r="W608" s="4"/>
      <c r="X608" s="8"/>
    </row>
    <row r="609" spans="1:24" ht="14">
      <c r="A609" s="4" t="s">
        <v>5</v>
      </c>
      <c r="B609" s="4"/>
      <c r="C609" s="4" t="s">
        <v>206</v>
      </c>
      <c r="D609" s="21" t="s">
        <v>207</v>
      </c>
      <c r="F609" s="4" t="s">
        <v>208</v>
      </c>
      <c r="G609" s="32">
        <v>45982</v>
      </c>
      <c r="H609" s="6"/>
      <c r="I609" s="4" t="s">
        <v>448</v>
      </c>
      <c r="J609" s="4"/>
      <c r="K609" s="4"/>
      <c r="L609" s="4"/>
      <c r="M609" s="4"/>
      <c r="N609" s="4"/>
      <c r="O609" s="4"/>
      <c r="P609" s="4"/>
      <c r="Q609" s="4"/>
      <c r="R609" s="4"/>
      <c r="S609" s="4" t="s">
        <v>34</v>
      </c>
      <c r="T609" s="4" t="s">
        <v>1614</v>
      </c>
      <c r="U609" s="6">
        <v>350</v>
      </c>
      <c r="V609" s="4">
        <v>0</v>
      </c>
      <c r="W609" s="4">
        <v>1</v>
      </c>
      <c r="X609" s="8">
        <v>45658</v>
      </c>
    </row>
    <row r="610" spans="1:24" ht="14">
      <c r="A610" s="4" t="s">
        <v>5</v>
      </c>
      <c r="B610" s="4"/>
      <c r="C610" s="4" t="s">
        <v>1615</v>
      </c>
      <c r="D610" s="21" t="s">
        <v>1616</v>
      </c>
      <c r="E610" s="4">
        <v>541150381059</v>
      </c>
      <c r="F610" s="4" t="s">
        <v>191</v>
      </c>
      <c r="G610" s="32">
        <v>45982</v>
      </c>
      <c r="H610" s="4" t="s">
        <v>856</v>
      </c>
      <c r="I610" s="4" t="s">
        <v>459</v>
      </c>
      <c r="K610" s="67" t="b">
        <v>1</v>
      </c>
      <c r="S610" s="4"/>
      <c r="T610" s="4"/>
      <c r="U610" s="6"/>
      <c r="V610" s="4"/>
      <c r="W610" s="4"/>
      <c r="X610" s="8"/>
    </row>
    <row r="611" spans="1:24" ht="14">
      <c r="A611" s="4" t="s">
        <v>5</v>
      </c>
      <c r="B611" s="4"/>
      <c r="C611" s="4" t="s">
        <v>1617</v>
      </c>
      <c r="D611" s="21" t="s">
        <v>1618</v>
      </c>
      <c r="E611" s="4">
        <v>12109747599</v>
      </c>
      <c r="F611" s="4" t="s">
        <v>319</v>
      </c>
      <c r="G611" s="32">
        <v>45983</v>
      </c>
      <c r="H611" s="4" t="s">
        <v>856</v>
      </c>
      <c r="I611" s="4" t="s">
        <v>459</v>
      </c>
      <c r="K611" s="67" t="b">
        <v>1</v>
      </c>
      <c r="S611" s="4"/>
      <c r="T611" s="4"/>
      <c r="U611" s="6"/>
      <c r="V611" s="4"/>
      <c r="W611" s="4"/>
      <c r="X611" s="8"/>
    </row>
    <row r="612" spans="1:24" ht="14">
      <c r="A612" s="4" t="s">
        <v>381</v>
      </c>
      <c r="B612" s="4"/>
      <c r="C612" s="4" t="s">
        <v>1619</v>
      </c>
      <c r="D612" s="21" t="s">
        <v>1620</v>
      </c>
      <c r="E612" s="4">
        <v>573182783453</v>
      </c>
      <c r="F612" s="4" t="s">
        <v>1621</v>
      </c>
      <c r="G612" s="32">
        <v>45983</v>
      </c>
      <c r="H612" s="4" t="s">
        <v>856</v>
      </c>
      <c r="I612" s="4" t="s">
        <v>459</v>
      </c>
      <c r="K612" s="67" t="b">
        <v>1</v>
      </c>
      <c r="S612" s="4"/>
      <c r="T612" s="4"/>
      <c r="U612" s="6"/>
      <c r="V612" s="4"/>
      <c r="W612" s="4"/>
      <c r="X612" s="8"/>
    </row>
    <row r="613" spans="1:24" ht="14">
      <c r="A613" s="4" t="s">
        <v>5</v>
      </c>
      <c r="B613" s="4"/>
      <c r="C613" s="4" t="s">
        <v>1622</v>
      </c>
      <c r="D613" s="21" t="s">
        <v>1623</v>
      </c>
      <c r="E613" s="4">
        <v>7077073427690</v>
      </c>
      <c r="F613" s="4" t="s">
        <v>40</v>
      </c>
      <c r="G613" s="32">
        <v>45984</v>
      </c>
      <c r="H613" s="4" t="s">
        <v>856</v>
      </c>
      <c r="I613" s="4" t="s">
        <v>459</v>
      </c>
      <c r="K613" s="67" t="b">
        <v>0</v>
      </c>
      <c r="L613" s="68" t="b">
        <v>1</v>
      </c>
      <c r="S613" s="4"/>
      <c r="T613" s="4"/>
      <c r="U613" s="6"/>
      <c r="V613" s="4"/>
      <c r="W613" s="4"/>
      <c r="X613" s="8"/>
    </row>
    <row r="614" spans="1:24" ht="14">
      <c r="A614" s="4" t="s">
        <v>381</v>
      </c>
      <c r="B614" s="4"/>
      <c r="C614" s="4" t="s">
        <v>1624</v>
      </c>
      <c r="D614" s="21" t="s">
        <v>1625</v>
      </c>
      <c r="E614" s="4">
        <v>34625015452</v>
      </c>
      <c r="F614" s="4" t="s">
        <v>1626</v>
      </c>
      <c r="G614" s="32">
        <v>45984</v>
      </c>
      <c r="H614" s="4" t="s">
        <v>856</v>
      </c>
      <c r="I614" s="4" t="s">
        <v>886</v>
      </c>
      <c r="K614" s="67" t="b">
        <v>1</v>
      </c>
      <c r="S614" s="4"/>
      <c r="T614" s="4"/>
      <c r="U614" s="6"/>
      <c r="V614" s="4"/>
      <c r="W614" s="4"/>
      <c r="X614" s="8"/>
    </row>
    <row r="615" spans="1:24" ht="14">
      <c r="A615" s="4" t="s">
        <v>5</v>
      </c>
      <c r="B615" s="4"/>
      <c r="C615" s="4" t="s">
        <v>1627</v>
      </c>
      <c r="D615" s="21" t="s">
        <v>1628</v>
      </c>
      <c r="E615" s="4">
        <v>34654467020</v>
      </c>
      <c r="F615" s="4" t="s">
        <v>1629</v>
      </c>
      <c r="G615" s="32">
        <v>45985</v>
      </c>
      <c r="H615" s="4" t="s">
        <v>856</v>
      </c>
      <c r="I615" s="4" t="s">
        <v>459</v>
      </c>
      <c r="K615" s="67" t="b">
        <v>1</v>
      </c>
      <c r="S615" s="4"/>
      <c r="T615" s="4"/>
      <c r="U615" s="6"/>
      <c r="V615" s="4"/>
      <c r="W615" s="4"/>
      <c r="X615" s="8"/>
    </row>
    <row r="616" spans="1:24" ht="14">
      <c r="A616" s="4" t="s">
        <v>5</v>
      </c>
      <c r="B616" s="4"/>
      <c r="C616" s="4" t="s">
        <v>1630</v>
      </c>
      <c r="D616" s="21" t="s">
        <v>1631</v>
      </c>
      <c r="E616" s="4">
        <v>50230487204</v>
      </c>
      <c r="F616" s="4" t="s">
        <v>1632</v>
      </c>
      <c r="G616" s="32">
        <v>45985</v>
      </c>
      <c r="H616" s="4" t="s">
        <v>856</v>
      </c>
      <c r="I616" s="4" t="s">
        <v>459</v>
      </c>
      <c r="K616" s="67" t="b">
        <v>1</v>
      </c>
      <c r="S616" s="4"/>
      <c r="T616" s="4"/>
      <c r="U616" s="6"/>
      <c r="V616" s="4"/>
      <c r="W616" s="4"/>
      <c r="X616" s="8"/>
    </row>
    <row r="617" spans="1:24" ht="14">
      <c r="A617" s="4" t="s">
        <v>5</v>
      </c>
      <c r="B617" s="4"/>
      <c r="C617" s="4" t="s">
        <v>1633</v>
      </c>
      <c r="D617" s="21" t="s">
        <v>1634</v>
      </c>
      <c r="E617" s="4">
        <v>18097054548</v>
      </c>
      <c r="F617" s="4" t="s">
        <v>233</v>
      </c>
      <c r="G617" s="32">
        <v>45985</v>
      </c>
      <c r="H617" s="4" t="s">
        <v>856</v>
      </c>
      <c r="I617" s="4" t="s">
        <v>459</v>
      </c>
      <c r="K617" s="67" t="b">
        <v>1</v>
      </c>
      <c r="S617" s="4"/>
      <c r="T617" s="4"/>
      <c r="U617" s="6"/>
      <c r="V617" s="4"/>
      <c r="W617" s="4"/>
      <c r="X617" s="8"/>
    </row>
    <row r="618" spans="1:24" ht="12.5">
      <c r="A618" s="4" t="s">
        <v>240</v>
      </c>
      <c r="B618" s="4" t="s">
        <v>119</v>
      </c>
      <c r="C618" s="4" t="s">
        <v>1635</v>
      </c>
      <c r="E618" s="4" t="s">
        <v>1636</v>
      </c>
      <c r="F618" s="4" t="s">
        <v>1637</v>
      </c>
      <c r="G618" s="32">
        <v>45985</v>
      </c>
      <c r="H618" s="4" t="s">
        <v>856</v>
      </c>
      <c r="I618" s="4" t="s">
        <v>941</v>
      </c>
      <c r="J618" s="68" t="b">
        <v>1</v>
      </c>
      <c r="K618" s="67" t="b">
        <v>1</v>
      </c>
      <c r="L618" s="4"/>
      <c r="M618" s="4"/>
      <c r="N618" s="67" t="b">
        <v>1</v>
      </c>
      <c r="O618" s="4"/>
      <c r="P618" s="4"/>
      <c r="Q618" s="4"/>
      <c r="R618" s="4"/>
      <c r="S618" s="8"/>
    </row>
    <row r="619" spans="1:24" ht="12.5">
      <c r="A619" s="4" t="s">
        <v>5</v>
      </c>
      <c r="B619" s="4"/>
      <c r="C619" s="4" t="s">
        <v>1638</v>
      </c>
      <c r="D619" s="4" t="s">
        <v>1639</v>
      </c>
      <c r="E619" s="4">
        <v>541158257860</v>
      </c>
      <c r="F619" s="4" t="s">
        <v>63</v>
      </c>
      <c r="G619" s="32">
        <v>45985</v>
      </c>
      <c r="H619" s="4" t="s">
        <v>856</v>
      </c>
      <c r="I619" s="4" t="s">
        <v>459</v>
      </c>
      <c r="J619" s="68" t="b">
        <v>0</v>
      </c>
      <c r="K619" s="67" t="b">
        <v>1</v>
      </c>
      <c r="S619" s="8"/>
    </row>
    <row r="620" spans="1:24" ht="12.5">
      <c r="A620" s="4" t="s">
        <v>5</v>
      </c>
      <c r="B620" s="4"/>
      <c r="C620" s="4" t="s">
        <v>1640</v>
      </c>
      <c r="D620" s="4" t="s">
        <v>1641</v>
      </c>
      <c r="E620" s="4">
        <v>34607047257</v>
      </c>
      <c r="F620" s="4" t="s">
        <v>8</v>
      </c>
      <c r="G620" s="32">
        <v>45986</v>
      </c>
      <c r="H620" s="4" t="s">
        <v>856</v>
      </c>
      <c r="I620" s="4" t="s">
        <v>459</v>
      </c>
      <c r="J620" s="68" t="b">
        <v>0</v>
      </c>
      <c r="K620" s="67" t="b">
        <v>1</v>
      </c>
      <c r="N620" s="67" t="b">
        <v>1</v>
      </c>
      <c r="S620" s="8"/>
    </row>
    <row r="621" spans="1:24" ht="12.5">
      <c r="A621" s="4" t="s">
        <v>5</v>
      </c>
      <c r="B621" s="4"/>
      <c r="C621" s="4" t="s">
        <v>1642</v>
      </c>
      <c r="D621" s="4" t="s">
        <v>1643</v>
      </c>
      <c r="E621" s="4">
        <v>34666988778</v>
      </c>
      <c r="F621" s="4" t="s">
        <v>702</v>
      </c>
      <c r="G621" s="32">
        <v>45986</v>
      </c>
      <c r="H621" s="4" t="s">
        <v>856</v>
      </c>
      <c r="I621" s="4" t="s">
        <v>459</v>
      </c>
      <c r="J621" s="68" t="b">
        <v>0</v>
      </c>
      <c r="K621" s="67" t="b">
        <v>1</v>
      </c>
      <c r="N621" s="67" t="b">
        <v>1</v>
      </c>
      <c r="S621" s="8"/>
    </row>
    <row r="622" spans="1:24" ht="12.5">
      <c r="A622" s="4" t="s">
        <v>5</v>
      </c>
      <c r="B622" s="4"/>
      <c r="C622" s="4" t="s">
        <v>1644</v>
      </c>
      <c r="D622" s="4" t="s">
        <v>1645</v>
      </c>
      <c r="E622" s="4">
        <v>34646329378</v>
      </c>
      <c r="F622" s="4" t="s">
        <v>8</v>
      </c>
      <c r="G622" s="32">
        <v>45986</v>
      </c>
      <c r="H622" s="4" t="s">
        <v>856</v>
      </c>
      <c r="I622" s="4" t="s">
        <v>459</v>
      </c>
      <c r="J622" s="68" t="b">
        <v>0</v>
      </c>
      <c r="K622" s="67" t="b">
        <v>1</v>
      </c>
      <c r="S622" s="8"/>
    </row>
    <row r="623" spans="1:24" ht="12.5">
      <c r="A623" s="4" t="s">
        <v>5</v>
      </c>
      <c r="B623" s="4"/>
      <c r="C623" s="4" t="s">
        <v>1646</v>
      </c>
      <c r="E623" s="4" t="s">
        <v>1647</v>
      </c>
      <c r="F623" s="4" t="s">
        <v>740</v>
      </c>
      <c r="G623" s="32">
        <v>45986</v>
      </c>
      <c r="H623" s="4" t="s">
        <v>956</v>
      </c>
      <c r="I623" s="4" t="s">
        <v>459</v>
      </c>
      <c r="J623" s="68" t="b">
        <v>0</v>
      </c>
      <c r="K623" s="67" t="b">
        <v>1</v>
      </c>
      <c r="L623" s="68"/>
      <c r="S623" s="8"/>
    </row>
    <row r="624" spans="1:24" ht="12.5">
      <c r="A624" s="4" t="s">
        <v>5</v>
      </c>
      <c r="B624" s="9"/>
      <c r="C624" s="9" t="s">
        <v>1648</v>
      </c>
      <c r="D624" s="9" t="s">
        <v>1649</v>
      </c>
      <c r="E624" s="29">
        <v>34611111111</v>
      </c>
      <c r="F624" s="9" t="s">
        <v>33</v>
      </c>
      <c r="G624" s="43">
        <v>45987</v>
      </c>
      <c r="H624" s="4" t="s">
        <v>956</v>
      </c>
      <c r="I624" s="4" t="s">
        <v>459</v>
      </c>
      <c r="J624" s="4"/>
      <c r="K624" s="4"/>
      <c r="L624" s="68" t="b">
        <v>1</v>
      </c>
      <c r="M624" s="4"/>
      <c r="N624" s="4"/>
      <c r="O624" s="4"/>
      <c r="P624" s="4"/>
      <c r="Q624" s="4"/>
      <c r="R624" s="4"/>
      <c r="S624" s="8"/>
    </row>
    <row r="625" spans="1:19" ht="12.5">
      <c r="A625" s="4" t="s">
        <v>5</v>
      </c>
      <c r="B625" s="9" t="s">
        <v>119</v>
      </c>
      <c r="C625" s="9" t="s">
        <v>1650</v>
      </c>
      <c r="D625" s="9" t="s">
        <v>1651</v>
      </c>
      <c r="E625" s="29">
        <v>34617274055</v>
      </c>
      <c r="F625" s="9" t="s">
        <v>33</v>
      </c>
      <c r="G625" s="43">
        <v>45987</v>
      </c>
      <c r="H625" s="9" t="s">
        <v>856</v>
      </c>
      <c r="I625" s="4" t="s">
        <v>941</v>
      </c>
      <c r="J625" s="4"/>
      <c r="K625" s="67" t="b">
        <v>1</v>
      </c>
      <c r="L625" s="4"/>
      <c r="M625" s="4"/>
      <c r="N625" s="4"/>
      <c r="O625" s="4"/>
      <c r="P625" s="4"/>
      <c r="Q625" s="4"/>
      <c r="R625" s="4"/>
      <c r="S625" s="8"/>
    </row>
    <row r="626" spans="1:19" ht="12.5">
      <c r="A626" s="4" t="s">
        <v>5</v>
      </c>
      <c r="B626" s="9"/>
      <c r="C626" s="9" t="s">
        <v>1652</v>
      </c>
      <c r="D626" s="9" t="s">
        <v>1653</v>
      </c>
      <c r="E626" s="29">
        <v>34679257533</v>
      </c>
      <c r="F626" s="9" t="s">
        <v>310</v>
      </c>
      <c r="G626" s="43">
        <v>45987</v>
      </c>
      <c r="H626" s="9" t="s">
        <v>856</v>
      </c>
      <c r="I626" s="4" t="s">
        <v>459</v>
      </c>
      <c r="K626" s="67" t="b">
        <v>1</v>
      </c>
      <c r="S626" s="8"/>
    </row>
    <row r="627" spans="1:19" ht="12.5">
      <c r="A627" s="4" t="s">
        <v>5</v>
      </c>
      <c r="B627" s="4"/>
      <c r="C627" s="4" t="s">
        <v>1654</v>
      </c>
      <c r="E627" s="4" t="s">
        <v>1655</v>
      </c>
      <c r="F627" s="4" t="s">
        <v>270</v>
      </c>
      <c r="G627" s="43">
        <v>45987</v>
      </c>
      <c r="H627" s="4" t="s">
        <v>956</v>
      </c>
      <c r="I627" s="4" t="s">
        <v>459</v>
      </c>
      <c r="J627" s="4"/>
      <c r="K627" s="67" t="b">
        <v>1</v>
      </c>
      <c r="L627" s="4"/>
      <c r="M627" s="4"/>
      <c r="N627" s="4"/>
      <c r="O627" s="4"/>
      <c r="P627" s="4"/>
      <c r="Q627" s="4"/>
      <c r="R627" s="4"/>
      <c r="S627" s="8"/>
    </row>
    <row r="628" spans="1:19" ht="12.5">
      <c r="A628" s="4" t="s">
        <v>5</v>
      </c>
      <c r="B628" s="4"/>
      <c r="C628" s="4" t="s">
        <v>212</v>
      </c>
      <c r="E628" s="4" t="s">
        <v>213</v>
      </c>
      <c r="F628" s="4" t="s">
        <v>1656</v>
      </c>
      <c r="G628" s="43">
        <v>45987</v>
      </c>
      <c r="H628" s="4" t="s">
        <v>956</v>
      </c>
      <c r="I628" s="4" t="s">
        <v>448</v>
      </c>
      <c r="K628" s="67" t="b">
        <v>1</v>
      </c>
      <c r="S628" s="4" t="s">
        <v>119</v>
      </c>
    </row>
    <row r="629" spans="1:19" ht="12.5">
      <c r="A629" s="4" t="s">
        <v>5</v>
      </c>
      <c r="B629" s="4"/>
      <c r="C629" s="4" t="s">
        <v>1657</v>
      </c>
      <c r="D629" s="4" t="s">
        <v>1658</v>
      </c>
      <c r="E629" s="4">
        <v>51932363682</v>
      </c>
      <c r="F629" s="4" t="s">
        <v>1233</v>
      </c>
      <c r="G629" s="32">
        <v>45987</v>
      </c>
      <c r="H629" s="4" t="s">
        <v>856</v>
      </c>
      <c r="I629" s="4" t="s">
        <v>459</v>
      </c>
      <c r="K629" s="67" t="b">
        <v>1</v>
      </c>
      <c r="S629" s="8"/>
    </row>
    <row r="630" spans="1:19" ht="12.5">
      <c r="A630" s="4" t="s">
        <v>5</v>
      </c>
      <c r="B630" s="4"/>
      <c r="C630" s="4" t="s">
        <v>1659</v>
      </c>
      <c r="D630" s="4" t="s">
        <v>1660</v>
      </c>
      <c r="E630" s="4">
        <v>573128934451</v>
      </c>
      <c r="F630" s="4" t="s">
        <v>27</v>
      </c>
      <c r="G630" s="32">
        <v>45987</v>
      </c>
      <c r="H630" s="4" t="s">
        <v>856</v>
      </c>
      <c r="I630" s="4" t="s">
        <v>941</v>
      </c>
      <c r="K630" s="67" t="b">
        <v>1</v>
      </c>
      <c r="N630" s="67" t="b">
        <v>1</v>
      </c>
      <c r="S630" s="8"/>
    </row>
    <row r="631" spans="1:19" ht="12.5">
      <c r="A631" s="4" t="s">
        <v>5</v>
      </c>
      <c r="B631" s="4"/>
      <c r="C631" s="4" t="s">
        <v>1661</v>
      </c>
      <c r="E631" s="4" t="s">
        <v>1662</v>
      </c>
      <c r="F631" s="4" t="s">
        <v>1663</v>
      </c>
      <c r="G631" s="32">
        <v>45987</v>
      </c>
      <c r="H631" s="4" t="s">
        <v>956</v>
      </c>
      <c r="I631" s="4" t="s">
        <v>459</v>
      </c>
      <c r="J631" s="4"/>
      <c r="K631" s="67" t="b">
        <v>1</v>
      </c>
      <c r="L631" s="4"/>
      <c r="M631" s="4"/>
      <c r="N631" s="67" t="b">
        <v>1</v>
      </c>
      <c r="O631" s="4"/>
      <c r="P631" s="4"/>
      <c r="Q631" s="4"/>
      <c r="R631" s="4"/>
      <c r="S631" s="8"/>
    </row>
    <row r="632" spans="1:19" ht="12.5">
      <c r="A632" s="4" t="s">
        <v>5</v>
      </c>
      <c r="B632" s="4"/>
      <c r="C632" s="4" t="s">
        <v>1664</v>
      </c>
      <c r="D632" s="4" t="s">
        <v>1665</v>
      </c>
      <c r="E632" s="4">
        <v>34722410534</v>
      </c>
      <c r="F632" s="4" t="s">
        <v>102</v>
      </c>
      <c r="G632" s="32">
        <v>45987</v>
      </c>
      <c r="H632" s="4" t="s">
        <v>856</v>
      </c>
      <c r="I632" s="4" t="s">
        <v>459</v>
      </c>
      <c r="K632" s="67" t="b">
        <v>1</v>
      </c>
      <c r="N632" s="67" t="b">
        <v>1</v>
      </c>
      <c r="S632" s="8"/>
    </row>
    <row r="633" spans="1:19" ht="12.5">
      <c r="A633" s="4" t="s">
        <v>5</v>
      </c>
      <c r="B633" s="4"/>
      <c r="C633" s="4" t="s">
        <v>1666</v>
      </c>
      <c r="D633" s="4" t="s">
        <v>1667</v>
      </c>
      <c r="E633" s="4">
        <v>525532024778</v>
      </c>
      <c r="F633" s="4" t="s">
        <v>1668</v>
      </c>
      <c r="G633" s="32">
        <v>45988</v>
      </c>
      <c r="H633" s="4" t="s">
        <v>856</v>
      </c>
      <c r="I633" s="4" t="s">
        <v>459</v>
      </c>
      <c r="K633" s="67" t="b">
        <v>1</v>
      </c>
      <c r="S633" s="8"/>
    </row>
    <row r="634" spans="1:19" ht="12.5">
      <c r="A634" s="4" t="s">
        <v>5</v>
      </c>
      <c r="B634" s="4"/>
      <c r="C634" s="4" t="s">
        <v>1669</v>
      </c>
      <c r="D634" s="4" t="s">
        <v>1670</v>
      </c>
      <c r="E634" s="4">
        <v>525542430153</v>
      </c>
      <c r="F634" s="4" t="s">
        <v>1147</v>
      </c>
      <c r="G634" s="32">
        <v>45988</v>
      </c>
      <c r="H634" s="4" t="s">
        <v>856</v>
      </c>
      <c r="I634" s="4" t="s">
        <v>459</v>
      </c>
      <c r="K634" s="67" t="b">
        <v>1</v>
      </c>
      <c r="S634" s="8"/>
    </row>
    <row r="635" spans="1:19" ht="12.5">
      <c r="A635" s="4" t="s">
        <v>5</v>
      </c>
      <c r="B635" s="4"/>
      <c r="C635" s="4" t="s">
        <v>1671</v>
      </c>
      <c r="D635" s="4" t="s">
        <v>1672</v>
      </c>
      <c r="E635" s="4">
        <v>34691841124</v>
      </c>
      <c r="F635" s="4" t="s">
        <v>8</v>
      </c>
      <c r="G635" s="32">
        <v>45988</v>
      </c>
      <c r="H635" s="4" t="s">
        <v>856</v>
      </c>
      <c r="I635" s="4" t="s">
        <v>459</v>
      </c>
      <c r="K635" s="67" t="b">
        <v>1</v>
      </c>
      <c r="S635" s="8"/>
    </row>
    <row r="636" spans="1:19" ht="12.5">
      <c r="A636" s="4" t="s">
        <v>5</v>
      </c>
      <c r="B636" s="4"/>
      <c r="C636" s="4" t="s">
        <v>320</v>
      </c>
      <c r="D636" s="4" t="s">
        <v>1673</v>
      </c>
      <c r="E636" s="4">
        <v>34676380984</v>
      </c>
      <c r="F636" s="4" t="s">
        <v>496</v>
      </c>
      <c r="G636" s="32">
        <v>45988</v>
      </c>
      <c r="H636" s="4" t="s">
        <v>856</v>
      </c>
      <c r="I636" s="4" t="s">
        <v>459</v>
      </c>
      <c r="K636" s="67" t="b">
        <v>1</v>
      </c>
      <c r="S636" s="8"/>
    </row>
    <row r="637" spans="1:19" ht="12.5">
      <c r="A637" s="4" t="s">
        <v>5</v>
      </c>
      <c r="B637" s="4"/>
      <c r="C637" s="4" t="s">
        <v>1674</v>
      </c>
      <c r="D637" s="4" t="s">
        <v>1675</v>
      </c>
      <c r="E637" s="4">
        <v>51972134706</v>
      </c>
      <c r="F637" s="4" t="s">
        <v>1676</v>
      </c>
      <c r="G637" s="32">
        <v>45988</v>
      </c>
      <c r="H637" s="4" t="s">
        <v>856</v>
      </c>
      <c r="I637" s="4" t="s">
        <v>459</v>
      </c>
      <c r="K637" s="67" t="b">
        <v>1</v>
      </c>
      <c r="S637" s="8"/>
    </row>
    <row r="638" spans="1:19" ht="12.5">
      <c r="A638" s="4" t="s">
        <v>381</v>
      </c>
      <c r="B638" s="4"/>
      <c r="C638" s="4" t="s">
        <v>1677</v>
      </c>
      <c r="D638" s="4" t="s">
        <v>1678</v>
      </c>
      <c r="E638" s="4">
        <v>34659928683</v>
      </c>
      <c r="F638" s="4" t="s">
        <v>1679</v>
      </c>
      <c r="G638" s="32">
        <v>45988</v>
      </c>
      <c r="H638" s="4" t="s">
        <v>856</v>
      </c>
      <c r="I638" s="4" t="s">
        <v>459</v>
      </c>
      <c r="K638" s="67" t="b">
        <v>1</v>
      </c>
      <c r="S638" s="8"/>
    </row>
    <row r="639" spans="1:19" ht="12.5">
      <c r="A639" s="4" t="s">
        <v>5</v>
      </c>
      <c r="B639" s="4"/>
      <c r="C639" s="4" t="s">
        <v>1680</v>
      </c>
      <c r="D639" s="4" t="s">
        <v>1681</v>
      </c>
      <c r="E639" s="4">
        <v>678929226</v>
      </c>
      <c r="F639" s="4" t="s">
        <v>70</v>
      </c>
      <c r="G639" s="32">
        <v>45989</v>
      </c>
      <c r="H639" s="4" t="s">
        <v>856</v>
      </c>
      <c r="I639" s="4" t="s">
        <v>459</v>
      </c>
      <c r="K639" s="67" t="b">
        <v>1</v>
      </c>
      <c r="S639" s="8"/>
    </row>
    <row r="640" spans="1:19" ht="12.5">
      <c r="A640" s="4" t="s">
        <v>5</v>
      </c>
      <c r="B640" s="4"/>
      <c r="C640" s="4" t="s">
        <v>1682</v>
      </c>
      <c r="D640" s="4" t="s">
        <v>1683</v>
      </c>
      <c r="E640" s="4">
        <v>34672129000</v>
      </c>
      <c r="F640" s="4" t="s">
        <v>1676</v>
      </c>
      <c r="G640" s="32">
        <v>45989</v>
      </c>
      <c r="H640" s="4" t="s">
        <v>856</v>
      </c>
      <c r="I640" s="4" t="s">
        <v>459</v>
      </c>
      <c r="K640" s="67" t="b">
        <v>1</v>
      </c>
      <c r="S640" s="8"/>
    </row>
    <row r="641" spans="1:24" ht="12.5">
      <c r="A641" s="4" t="s">
        <v>5</v>
      </c>
      <c r="B641" s="9"/>
      <c r="C641" s="9" t="s">
        <v>1684</v>
      </c>
      <c r="D641" s="9"/>
      <c r="E641" s="29" t="s">
        <v>1685</v>
      </c>
      <c r="F641" s="9"/>
      <c r="G641" s="32">
        <v>45989</v>
      </c>
      <c r="H641" s="4" t="s">
        <v>979</v>
      </c>
      <c r="I641" s="4" t="s">
        <v>459</v>
      </c>
      <c r="J641" s="4"/>
      <c r="K641" s="4"/>
      <c r="L641" s="4"/>
      <c r="M641" s="4"/>
      <c r="N641" s="4"/>
      <c r="O641" s="4"/>
      <c r="P641" s="4"/>
      <c r="Q641" s="4"/>
      <c r="R641" s="4"/>
      <c r="S641" s="8"/>
    </row>
    <row r="642" spans="1:24" ht="12.5">
      <c r="A642" s="4" t="s">
        <v>5</v>
      </c>
      <c r="B642" s="9"/>
      <c r="C642" s="9" t="s">
        <v>1686</v>
      </c>
      <c r="D642" s="9" t="s">
        <v>1687</v>
      </c>
      <c r="E642" s="29">
        <v>34650854264</v>
      </c>
      <c r="F642" s="9" t="s">
        <v>70</v>
      </c>
      <c r="G642" s="32">
        <v>45989</v>
      </c>
      <c r="H642" s="4" t="s">
        <v>856</v>
      </c>
      <c r="I642" s="4" t="s">
        <v>459</v>
      </c>
      <c r="S642" s="8"/>
    </row>
    <row r="643" spans="1:24" ht="12.5">
      <c r="A643" s="4" t="s">
        <v>5</v>
      </c>
      <c r="B643" s="9"/>
      <c r="C643" s="9" t="s">
        <v>1688</v>
      </c>
      <c r="D643" s="9" t="s">
        <v>1689</v>
      </c>
      <c r="E643" s="29">
        <v>51983844931</v>
      </c>
      <c r="F643" s="9" t="s">
        <v>83</v>
      </c>
      <c r="G643" s="32">
        <v>45989</v>
      </c>
      <c r="H643" s="4" t="s">
        <v>856</v>
      </c>
      <c r="I643" s="4" t="s">
        <v>459</v>
      </c>
      <c r="S643" s="8"/>
    </row>
    <row r="644" spans="1:24" ht="12.5">
      <c r="A644" s="4" t="s">
        <v>5</v>
      </c>
      <c r="B644" s="4"/>
      <c r="C644" s="4" t="s">
        <v>661</v>
      </c>
      <c r="E644" s="4" t="s">
        <v>1690</v>
      </c>
      <c r="G644" s="32">
        <v>45989</v>
      </c>
      <c r="H644" s="4" t="s">
        <v>979</v>
      </c>
      <c r="I644" s="4" t="s">
        <v>459</v>
      </c>
      <c r="J644" s="4"/>
      <c r="K644" s="4"/>
      <c r="L644" s="4"/>
      <c r="M644" s="4"/>
      <c r="N644" s="4"/>
      <c r="O644" s="4"/>
      <c r="P644" s="4"/>
      <c r="Q644" s="4"/>
      <c r="R644" s="4"/>
      <c r="S644" s="8"/>
    </row>
    <row r="645" spans="1:24" ht="12.5">
      <c r="A645" s="4" t="s">
        <v>5</v>
      </c>
      <c r="B645" s="4"/>
      <c r="C645" s="4" t="s">
        <v>1691</v>
      </c>
      <c r="D645" s="4" t="s">
        <v>1692</v>
      </c>
      <c r="E645" s="4">
        <v>5492267533057</v>
      </c>
      <c r="F645" s="4" t="s">
        <v>70</v>
      </c>
      <c r="G645" s="32">
        <v>45989</v>
      </c>
      <c r="H645" s="4" t="s">
        <v>856</v>
      </c>
      <c r="I645" s="4" t="s">
        <v>459</v>
      </c>
      <c r="S645" s="8"/>
    </row>
    <row r="646" spans="1:24" ht="14">
      <c r="A646" s="4" t="s">
        <v>5</v>
      </c>
      <c r="B646" s="38"/>
      <c r="C646" s="38" t="s">
        <v>212</v>
      </c>
      <c r="E646" s="4" t="s">
        <v>213</v>
      </c>
      <c r="F646" s="2" t="s">
        <v>8</v>
      </c>
      <c r="G646" s="32">
        <v>45989</v>
      </c>
      <c r="H646" s="4" t="s">
        <v>956</v>
      </c>
      <c r="I646" s="4" t="s">
        <v>448</v>
      </c>
      <c r="J646" s="4"/>
      <c r="K646" s="67" t="b">
        <v>1</v>
      </c>
      <c r="L646" s="4"/>
      <c r="M646" s="4"/>
      <c r="N646" s="67" t="b">
        <v>1</v>
      </c>
      <c r="O646" s="4"/>
      <c r="P646" s="4"/>
      <c r="Q646" s="4"/>
      <c r="R646" s="4"/>
      <c r="S646" s="4" t="s">
        <v>119</v>
      </c>
      <c r="T646" s="18">
        <v>45989</v>
      </c>
      <c r="U646" s="6">
        <v>209</v>
      </c>
      <c r="V646" s="7">
        <v>0.3</v>
      </c>
      <c r="W646" s="4">
        <v>1</v>
      </c>
      <c r="X646" s="8">
        <v>45658</v>
      </c>
    </row>
    <row r="647" spans="1:24" ht="14">
      <c r="A647" s="4" t="s">
        <v>5</v>
      </c>
      <c r="B647" s="4"/>
      <c r="C647" s="4" t="s">
        <v>214</v>
      </c>
      <c r="D647" s="21" t="s">
        <v>215</v>
      </c>
      <c r="E647" s="4" t="s">
        <v>216</v>
      </c>
      <c r="F647" s="4" t="s">
        <v>70</v>
      </c>
      <c r="G647" s="32">
        <v>45989</v>
      </c>
      <c r="H647" s="4" t="s">
        <v>956</v>
      </c>
      <c r="I647" s="4" t="s">
        <v>448</v>
      </c>
      <c r="J647" s="4"/>
      <c r="K647" s="67" t="b">
        <v>1</v>
      </c>
      <c r="L647" s="4"/>
      <c r="M647" s="4"/>
      <c r="N647" s="4"/>
      <c r="O647" s="4"/>
      <c r="P647" s="4"/>
      <c r="Q647" s="4"/>
      <c r="R647" s="4"/>
      <c r="S647" s="4" t="s">
        <v>119</v>
      </c>
      <c r="T647" s="18">
        <v>45989</v>
      </c>
      <c r="U647" s="6">
        <v>175</v>
      </c>
      <c r="V647" s="7">
        <v>0.3</v>
      </c>
      <c r="W647" s="4">
        <v>1</v>
      </c>
      <c r="X647" s="8">
        <v>45658</v>
      </c>
    </row>
    <row r="648" spans="1:24" ht="14">
      <c r="A648" s="4" t="s">
        <v>5</v>
      </c>
      <c r="B648" s="4"/>
      <c r="C648" s="4" t="s">
        <v>224</v>
      </c>
      <c r="D648" s="21" t="s">
        <v>225</v>
      </c>
      <c r="E648" s="4">
        <v>18092678432</v>
      </c>
      <c r="F648" s="4" t="s">
        <v>210</v>
      </c>
      <c r="G648" s="32">
        <v>45990</v>
      </c>
      <c r="H648" s="4" t="s">
        <v>856</v>
      </c>
      <c r="I648" s="4" t="s">
        <v>448</v>
      </c>
      <c r="K648" s="67" t="b">
        <v>1</v>
      </c>
      <c r="N648" s="67" t="b">
        <v>1</v>
      </c>
      <c r="S648" s="4"/>
      <c r="T648" s="18"/>
      <c r="U648" s="6"/>
      <c r="V648" s="7"/>
      <c r="W648" s="4"/>
      <c r="X648" s="8"/>
    </row>
    <row r="649" spans="1:24" ht="14">
      <c r="A649" s="4" t="s">
        <v>5</v>
      </c>
      <c r="B649" s="4"/>
      <c r="C649" s="4" t="s">
        <v>1693</v>
      </c>
      <c r="D649" s="21" t="s">
        <v>1694</v>
      </c>
      <c r="E649" s="4">
        <v>525591863795</v>
      </c>
      <c r="F649" s="4" t="s">
        <v>1147</v>
      </c>
      <c r="G649" s="32">
        <v>45990</v>
      </c>
      <c r="H649" s="4" t="s">
        <v>856</v>
      </c>
      <c r="I649" s="4" t="s">
        <v>459</v>
      </c>
      <c r="K649" s="67" t="b">
        <v>1</v>
      </c>
      <c r="N649" s="67" t="b">
        <v>1</v>
      </c>
      <c r="S649" s="4"/>
      <c r="T649" s="18"/>
      <c r="U649" s="6"/>
      <c r="V649" s="7"/>
      <c r="W649" s="4"/>
      <c r="X649" s="8"/>
    </row>
    <row r="650" spans="1:24" ht="14">
      <c r="A650" s="4" t="s">
        <v>5</v>
      </c>
      <c r="B650" s="4"/>
      <c r="C650" s="4" t="s">
        <v>1695</v>
      </c>
      <c r="D650" s="21" t="s">
        <v>1696</v>
      </c>
      <c r="E650" s="4">
        <v>573163555290</v>
      </c>
      <c r="F650" s="4" t="s">
        <v>1697</v>
      </c>
      <c r="G650" s="32">
        <v>45991</v>
      </c>
      <c r="H650" s="4" t="s">
        <v>856</v>
      </c>
      <c r="I650" s="4" t="s">
        <v>459</v>
      </c>
      <c r="K650" s="67" t="b">
        <v>1</v>
      </c>
      <c r="S650" s="4"/>
      <c r="T650" s="18"/>
      <c r="U650" s="6"/>
      <c r="V650" s="7"/>
      <c r="W650" s="4"/>
      <c r="X650" s="8"/>
    </row>
    <row r="651" spans="1:24" ht="14">
      <c r="A651" s="4" t="s">
        <v>5</v>
      </c>
      <c r="B651" s="4"/>
      <c r="C651" s="4" t="s">
        <v>1698</v>
      </c>
      <c r="D651" s="21" t="s">
        <v>1699</v>
      </c>
      <c r="E651" s="4">
        <v>573153332976</v>
      </c>
      <c r="F651" s="4" t="s">
        <v>393</v>
      </c>
      <c r="G651" s="32">
        <v>45991</v>
      </c>
      <c r="H651" s="4" t="s">
        <v>856</v>
      </c>
      <c r="I651" s="4" t="s">
        <v>459</v>
      </c>
      <c r="K651" s="67" t="b">
        <v>1</v>
      </c>
      <c r="S651" s="4"/>
      <c r="T651" s="18"/>
      <c r="U651" s="6"/>
      <c r="V651" s="7"/>
      <c r="W651" s="4"/>
      <c r="X651" s="8"/>
    </row>
    <row r="652" spans="1:24" ht="14">
      <c r="A652" s="4" t="s">
        <v>5</v>
      </c>
      <c r="B652" s="4"/>
      <c r="C652" s="4" t="s">
        <v>1394</v>
      </c>
      <c r="D652" s="21" t="s">
        <v>1395</v>
      </c>
      <c r="E652" s="4">
        <v>524423592192</v>
      </c>
      <c r="F652" s="4" t="s">
        <v>1282</v>
      </c>
      <c r="G652" s="32">
        <v>45991</v>
      </c>
      <c r="H652" s="4" t="s">
        <v>856</v>
      </c>
      <c r="I652" s="4" t="s">
        <v>459</v>
      </c>
      <c r="K652" s="67" t="b">
        <v>1</v>
      </c>
      <c r="S652" s="4"/>
      <c r="T652" s="18"/>
      <c r="U652" s="6"/>
      <c r="V652" s="7"/>
      <c r="W652" s="4"/>
      <c r="X652" s="8"/>
    </row>
    <row r="653" spans="1:24" ht="14">
      <c r="A653" s="4" t="s">
        <v>5</v>
      </c>
      <c r="B653" s="4"/>
      <c r="C653" s="4" t="s">
        <v>1700</v>
      </c>
      <c r="D653" s="21" t="s">
        <v>1701</v>
      </c>
      <c r="E653" s="4">
        <v>51993489920</v>
      </c>
      <c r="F653" s="4" t="s">
        <v>40</v>
      </c>
      <c r="G653" s="32">
        <v>45992</v>
      </c>
      <c r="H653" s="4" t="s">
        <v>856</v>
      </c>
      <c r="I653" s="4" t="s">
        <v>459</v>
      </c>
      <c r="K653" s="67" t="b">
        <v>1</v>
      </c>
      <c r="S653" s="4"/>
      <c r="T653" s="18"/>
      <c r="U653" s="6"/>
      <c r="V653" s="7"/>
      <c r="W653" s="4"/>
      <c r="X653" s="8"/>
    </row>
    <row r="654" spans="1:24" ht="14">
      <c r="A654" s="4" t="s">
        <v>5</v>
      </c>
      <c r="B654" s="4"/>
      <c r="C654" s="4" t="s">
        <v>1702</v>
      </c>
      <c r="D654" s="21" t="s">
        <v>1703</v>
      </c>
      <c r="E654" s="4">
        <v>524121021219</v>
      </c>
      <c r="F654" s="4" t="s">
        <v>40</v>
      </c>
      <c r="G654" s="32">
        <v>45992</v>
      </c>
      <c r="H654" s="4" t="s">
        <v>856</v>
      </c>
      <c r="I654" s="4" t="s">
        <v>459</v>
      </c>
      <c r="K654" s="67" t="b">
        <v>1</v>
      </c>
      <c r="N654" s="67" t="b">
        <v>1</v>
      </c>
      <c r="S654" s="4"/>
      <c r="T654" s="18"/>
      <c r="U654" s="6"/>
      <c r="V654" s="7"/>
      <c r="W654" s="4"/>
      <c r="X654" s="8"/>
    </row>
    <row r="655" spans="1:24" ht="14">
      <c r="A655" s="4" t="s">
        <v>5</v>
      </c>
      <c r="B655" s="4"/>
      <c r="C655" s="4" t="s">
        <v>1704</v>
      </c>
      <c r="D655" s="21" t="s">
        <v>1705</v>
      </c>
      <c r="E655" s="4">
        <v>34677083470</v>
      </c>
      <c r="F655" s="4" t="s">
        <v>82</v>
      </c>
      <c r="G655" s="32">
        <v>45992</v>
      </c>
      <c r="H655" s="4" t="s">
        <v>856</v>
      </c>
      <c r="I655" s="4" t="s">
        <v>459</v>
      </c>
      <c r="K655" s="67" t="b">
        <v>1</v>
      </c>
      <c r="N655" s="67" t="b">
        <v>1</v>
      </c>
      <c r="S655" s="4"/>
      <c r="T655" s="18"/>
      <c r="U655" s="6"/>
      <c r="V655" s="7"/>
      <c r="W655" s="4"/>
      <c r="X655" s="8"/>
    </row>
    <row r="656" spans="1:24" ht="14">
      <c r="A656" s="4" t="s">
        <v>5</v>
      </c>
      <c r="B656" s="4"/>
      <c r="C656" s="4" t="s">
        <v>1706</v>
      </c>
      <c r="D656" s="21" t="s">
        <v>1707</v>
      </c>
      <c r="E656" s="4">
        <v>11394982666</v>
      </c>
      <c r="F656" s="4" t="s">
        <v>8</v>
      </c>
      <c r="G656" s="32">
        <v>45992</v>
      </c>
      <c r="H656" s="4" t="s">
        <v>856</v>
      </c>
      <c r="I656" s="4" t="s">
        <v>459</v>
      </c>
      <c r="K656" s="67" t="b">
        <v>1</v>
      </c>
      <c r="S656" s="4"/>
      <c r="T656" s="18"/>
      <c r="U656" s="6"/>
      <c r="V656" s="7"/>
      <c r="W656" s="4"/>
      <c r="X656" s="8"/>
    </row>
    <row r="657" spans="1:24" ht="14">
      <c r="A657" s="4" t="s">
        <v>5</v>
      </c>
      <c r="B657" s="4"/>
      <c r="C657" s="4" t="s">
        <v>1708</v>
      </c>
      <c r="D657" s="21" t="s">
        <v>1709</v>
      </c>
      <c r="E657" s="4">
        <v>56958006083</v>
      </c>
      <c r="F657" s="4" t="s">
        <v>70</v>
      </c>
      <c r="G657" s="32">
        <v>45992</v>
      </c>
      <c r="H657" s="4" t="s">
        <v>856</v>
      </c>
      <c r="I657" s="4" t="s">
        <v>459</v>
      </c>
      <c r="K657" s="67" t="b">
        <v>1</v>
      </c>
      <c r="S657" s="4"/>
      <c r="T657" s="18"/>
      <c r="U657" s="6"/>
      <c r="V657" s="7"/>
      <c r="W657" s="4"/>
      <c r="X657" s="8"/>
    </row>
    <row r="658" spans="1:24" ht="14">
      <c r="A658" s="4" t="s">
        <v>5</v>
      </c>
      <c r="B658" s="4"/>
      <c r="C658" s="4" t="s">
        <v>1710</v>
      </c>
      <c r="D658" s="21" t="s">
        <v>1711</v>
      </c>
      <c r="E658" s="4">
        <v>541167265061</v>
      </c>
      <c r="F658" s="4" t="s">
        <v>1233</v>
      </c>
      <c r="G658" s="32">
        <v>45992</v>
      </c>
      <c r="H658" s="4" t="s">
        <v>856</v>
      </c>
      <c r="I658" s="4" t="s">
        <v>459</v>
      </c>
      <c r="K658" s="67" t="b">
        <v>1</v>
      </c>
      <c r="S658" s="4"/>
      <c r="T658" s="18"/>
      <c r="U658" s="6"/>
      <c r="V658" s="7"/>
      <c r="W658" s="4"/>
      <c r="X658" s="8"/>
    </row>
    <row r="659" spans="1:24" ht="14">
      <c r="A659" s="4" t="s">
        <v>5</v>
      </c>
      <c r="B659" s="4"/>
      <c r="C659" s="4" t="s">
        <v>1712</v>
      </c>
      <c r="D659" s="21" t="s">
        <v>1713</v>
      </c>
      <c r="E659" s="4">
        <v>34674907460</v>
      </c>
      <c r="F659" s="4" t="s">
        <v>70</v>
      </c>
      <c r="G659" s="32">
        <v>45992</v>
      </c>
      <c r="H659" s="4" t="s">
        <v>856</v>
      </c>
      <c r="I659" s="4" t="s">
        <v>459</v>
      </c>
      <c r="J659" s="68" t="b">
        <v>1</v>
      </c>
      <c r="K659" s="67" t="b">
        <v>1</v>
      </c>
      <c r="N659" s="67" t="b">
        <v>1</v>
      </c>
      <c r="S659" s="4"/>
      <c r="T659" s="18"/>
      <c r="U659" s="6"/>
      <c r="V659" s="7"/>
      <c r="W659" s="4"/>
      <c r="X659" s="8"/>
    </row>
    <row r="660" spans="1:24" ht="14">
      <c r="A660" s="4" t="s">
        <v>5</v>
      </c>
      <c r="B660" s="4"/>
      <c r="C660" s="4" t="s">
        <v>1714</v>
      </c>
      <c r="D660" s="21" t="s">
        <v>1715</v>
      </c>
      <c r="E660" s="4">
        <v>34605573688</v>
      </c>
      <c r="F660" s="4" t="s">
        <v>102</v>
      </c>
      <c r="G660" s="32">
        <v>45992</v>
      </c>
      <c r="H660" s="4" t="s">
        <v>856</v>
      </c>
      <c r="I660" s="4" t="s">
        <v>459</v>
      </c>
      <c r="K660" s="67" t="b">
        <v>1</v>
      </c>
      <c r="N660" s="67" t="b">
        <v>1</v>
      </c>
      <c r="S660" s="4"/>
      <c r="T660" s="18"/>
      <c r="U660" s="6"/>
      <c r="V660" s="7"/>
      <c r="W660" s="4"/>
      <c r="X660" s="8"/>
    </row>
    <row r="661" spans="1:24" ht="14">
      <c r="A661" s="4" t="s">
        <v>5</v>
      </c>
      <c r="B661" s="4"/>
      <c r="C661" s="4" t="s">
        <v>1716</v>
      </c>
      <c r="D661" s="35" t="s">
        <v>217</v>
      </c>
      <c r="F661" s="4" t="s">
        <v>70</v>
      </c>
      <c r="G661" s="32">
        <v>45992</v>
      </c>
      <c r="H661" s="4"/>
      <c r="I661" s="4" t="s">
        <v>448</v>
      </c>
      <c r="K661" s="67" t="b">
        <v>1</v>
      </c>
      <c r="S661" s="4" t="s">
        <v>119</v>
      </c>
      <c r="T661" s="18">
        <v>45992</v>
      </c>
      <c r="U661" s="48">
        <v>58.3</v>
      </c>
      <c r="V661" s="7">
        <v>0.3</v>
      </c>
      <c r="W661" s="4">
        <v>3</v>
      </c>
      <c r="X661" s="8">
        <v>45717</v>
      </c>
    </row>
    <row r="662" spans="1:24" ht="14">
      <c r="A662" s="4" t="s">
        <v>5</v>
      </c>
      <c r="B662" s="4"/>
      <c r="C662" s="4" t="s">
        <v>1717</v>
      </c>
      <c r="D662" s="21" t="s">
        <v>1718</v>
      </c>
      <c r="E662" s="4">
        <v>34688681444</v>
      </c>
      <c r="F662" s="4" t="s">
        <v>111</v>
      </c>
      <c r="G662" s="32">
        <v>45993</v>
      </c>
      <c r="H662" s="4" t="s">
        <v>856</v>
      </c>
      <c r="I662" s="4" t="s">
        <v>459</v>
      </c>
      <c r="K662" s="67" t="b">
        <v>1</v>
      </c>
      <c r="N662" s="67" t="b">
        <v>1</v>
      </c>
      <c r="S662" s="4"/>
      <c r="T662" s="18"/>
      <c r="U662" s="6"/>
      <c r="V662" s="7"/>
      <c r="W662" s="4"/>
      <c r="X662" s="8"/>
    </row>
    <row r="663" spans="1:24" ht="14">
      <c r="A663" s="4" t="s">
        <v>381</v>
      </c>
      <c r="B663" s="4"/>
      <c r="C663" s="4" t="s">
        <v>1719</v>
      </c>
      <c r="D663" s="21" t="s">
        <v>1720</v>
      </c>
      <c r="E663" s="4">
        <v>541154686347</v>
      </c>
      <c r="F663" s="4" t="s">
        <v>1383</v>
      </c>
      <c r="G663" s="32">
        <v>45993</v>
      </c>
      <c r="H663" s="4" t="s">
        <v>856</v>
      </c>
      <c r="I663" s="4" t="s">
        <v>459</v>
      </c>
      <c r="K663" s="67" t="b">
        <v>1</v>
      </c>
      <c r="S663" s="4"/>
      <c r="T663" s="18"/>
      <c r="U663" s="6"/>
      <c r="V663" s="7"/>
      <c r="W663" s="4"/>
      <c r="X663" s="8"/>
    </row>
    <row r="664" spans="1:24" ht="14">
      <c r="A664" s="4" t="s">
        <v>5</v>
      </c>
      <c r="B664" s="4"/>
      <c r="C664" s="4" t="s">
        <v>1721</v>
      </c>
      <c r="D664" s="21" t="s">
        <v>1722</v>
      </c>
      <c r="E664" s="4">
        <v>34686284588</v>
      </c>
      <c r="F664" s="4" t="s">
        <v>8</v>
      </c>
      <c r="G664" s="32">
        <v>45993</v>
      </c>
      <c r="H664" s="4" t="s">
        <v>856</v>
      </c>
      <c r="I664" s="4" t="s">
        <v>459</v>
      </c>
      <c r="K664" s="67" t="b">
        <v>1</v>
      </c>
      <c r="S664" s="4"/>
      <c r="T664" s="18"/>
      <c r="U664" s="6"/>
      <c r="V664" s="7"/>
      <c r="W664" s="4"/>
      <c r="X664" s="8"/>
    </row>
    <row r="665" spans="1:24" ht="14">
      <c r="A665" s="4" t="s">
        <v>5</v>
      </c>
      <c r="B665" s="4"/>
      <c r="C665" s="4" t="s">
        <v>229</v>
      </c>
      <c r="D665" s="21" t="s">
        <v>230</v>
      </c>
      <c r="E665" s="4">
        <v>34689722821</v>
      </c>
      <c r="F665" s="4" t="s">
        <v>27</v>
      </c>
      <c r="G665" s="32">
        <v>45993</v>
      </c>
      <c r="H665" s="4" t="s">
        <v>856</v>
      </c>
      <c r="I665" s="4" t="s">
        <v>448</v>
      </c>
      <c r="K665" s="67" t="b">
        <v>1</v>
      </c>
      <c r="N665" s="67" t="b">
        <v>1</v>
      </c>
      <c r="S665" s="4" t="s">
        <v>119</v>
      </c>
      <c r="T665" s="18">
        <v>45997</v>
      </c>
      <c r="U665" s="6">
        <v>245</v>
      </c>
      <c r="V665" s="7">
        <v>0.3</v>
      </c>
      <c r="W665" s="4">
        <v>1</v>
      </c>
      <c r="X665" s="8">
        <v>45658</v>
      </c>
    </row>
    <row r="666" spans="1:24" ht="12.5">
      <c r="A666" s="4" t="s">
        <v>5</v>
      </c>
      <c r="B666" s="34"/>
      <c r="C666" s="34" t="s">
        <v>218</v>
      </c>
      <c r="F666" s="4" t="s">
        <v>70</v>
      </c>
      <c r="G666" s="32">
        <v>45993</v>
      </c>
      <c r="H666" s="4" t="s">
        <v>856</v>
      </c>
      <c r="I666" s="4" t="s">
        <v>448</v>
      </c>
      <c r="J666" s="4"/>
      <c r="K666" s="67" t="b">
        <v>1</v>
      </c>
      <c r="L666" s="4"/>
      <c r="M666" s="4"/>
      <c r="N666" s="4"/>
      <c r="O666" s="4"/>
      <c r="P666" s="4"/>
      <c r="Q666" s="4"/>
      <c r="R666" s="4"/>
      <c r="S666" s="4" t="s">
        <v>119</v>
      </c>
      <c r="T666" s="33">
        <v>45993</v>
      </c>
      <c r="U666" s="48">
        <v>250</v>
      </c>
      <c r="V666" s="4">
        <v>0</v>
      </c>
      <c r="W666" s="4">
        <v>1</v>
      </c>
      <c r="X666" s="8">
        <v>45658</v>
      </c>
    </row>
    <row r="667" spans="1:24" ht="14">
      <c r="A667" s="9" t="s">
        <v>5</v>
      </c>
      <c r="B667" s="9"/>
      <c r="C667" s="9" t="s">
        <v>1723</v>
      </c>
      <c r="D667" s="21" t="s">
        <v>1724</v>
      </c>
      <c r="E667" s="29">
        <v>56962364616</v>
      </c>
      <c r="F667" s="9" t="s">
        <v>1500</v>
      </c>
      <c r="G667" s="43">
        <v>45993</v>
      </c>
      <c r="H667" s="9" t="s">
        <v>856</v>
      </c>
      <c r="I667" s="4" t="s">
        <v>459</v>
      </c>
      <c r="J667" s="4"/>
      <c r="K667" s="67" t="b">
        <v>1</v>
      </c>
      <c r="L667" s="4"/>
      <c r="M667" s="4"/>
      <c r="N667" s="67" t="b">
        <v>1</v>
      </c>
      <c r="O667" s="4"/>
      <c r="P667" s="4"/>
      <c r="Q667" s="4"/>
      <c r="R667" s="4"/>
      <c r="S667" s="8"/>
    </row>
    <row r="668" spans="1:24" ht="14">
      <c r="A668" s="9" t="s">
        <v>5</v>
      </c>
      <c r="B668" s="9"/>
      <c r="C668" s="9" t="s">
        <v>1725</v>
      </c>
      <c r="D668" s="21" t="s">
        <v>1726</v>
      </c>
      <c r="E668" s="29">
        <v>542604669482</v>
      </c>
      <c r="F668" s="9" t="s">
        <v>8</v>
      </c>
      <c r="G668" s="43">
        <v>45993</v>
      </c>
      <c r="H668" s="9" t="s">
        <v>856</v>
      </c>
      <c r="I668" s="4" t="s">
        <v>459</v>
      </c>
      <c r="K668" s="67" t="b">
        <v>1</v>
      </c>
      <c r="N668" s="67" t="b">
        <v>1</v>
      </c>
      <c r="S668" s="8"/>
    </row>
    <row r="669" spans="1:24" ht="14">
      <c r="A669" s="9" t="s">
        <v>5</v>
      </c>
      <c r="B669" s="9"/>
      <c r="C669" s="9" t="s">
        <v>321</v>
      </c>
      <c r="D669" s="21" t="s">
        <v>226</v>
      </c>
      <c r="E669" s="29">
        <v>51942609082</v>
      </c>
      <c r="F669" s="9" t="s">
        <v>322</v>
      </c>
      <c r="G669" s="43">
        <v>45993</v>
      </c>
      <c r="H669" s="9" t="s">
        <v>856</v>
      </c>
      <c r="I669" s="4" t="s">
        <v>448</v>
      </c>
      <c r="K669" s="67" t="b">
        <v>1</v>
      </c>
      <c r="N669" s="67" t="b">
        <v>1</v>
      </c>
      <c r="S669" s="4" t="s">
        <v>119</v>
      </c>
      <c r="T669" s="33">
        <v>45996</v>
      </c>
      <c r="U669" s="2">
        <v>300</v>
      </c>
      <c r="V669" s="4">
        <v>0</v>
      </c>
      <c r="W669" s="4">
        <v>1</v>
      </c>
      <c r="X669" s="8">
        <v>45839</v>
      </c>
    </row>
    <row r="670" spans="1:24" ht="14">
      <c r="A670" s="9" t="s">
        <v>381</v>
      </c>
      <c r="B670" s="9"/>
      <c r="C670" s="9" t="s">
        <v>1727</v>
      </c>
      <c r="D670" s="21" t="s">
        <v>1728</v>
      </c>
      <c r="E670" s="29">
        <v>50683044041</v>
      </c>
      <c r="F670" s="9" t="s">
        <v>1383</v>
      </c>
      <c r="G670" s="43">
        <v>45994</v>
      </c>
      <c r="H670" s="9" t="s">
        <v>856</v>
      </c>
      <c r="I670" s="4" t="s">
        <v>941</v>
      </c>
      <c r="K670" s="67" t="b">
        <v>1</v>
      </c>
      <c r="N670" s="67" t="b">
        <v>1</v>
      </c>
      <c r="S670" s="8"/>
    </row>
    <row r="671" spans="1:24" ht="14">
      <c r="A671" s="9" t="s">
        <v>5</v>
      </c>
      <c r="B671" s="9"/>
      <c r="C671" s="9" t="s">
        <v>1729</v>
      </c>
      <c r="D671" s="21" t="s">
        <v>1730</v>
      </c>
      <c r="E671" s="29">
        <v>34666200000</v>
      </c>
      <c r="F671" s="9" t="s">
        <v>82</v>
      </c>
      <c r="G671" s="43">
        <v>45994</v>
      </c>
      <c r="H671" s="9" t="s">
        <v>856</v>
      </c>
      <c r="I671" s="4" t="s">
        <v>459</v>
      </c>
      <c r="K671" s="67" t="b">
        <v>1</v>
      </c>
      <c r="N671" s="67" t="b">
        <v>1</v>
      </c>
      <c r="S671" s="8"/>
    </row>
    <row r="672" spans="1:24" ht="14">
      <c r="A672" s="9" t="s">
        <v>5</v>
      </c>
      <c r="B672" s="9"/>
      <c r="C672" s="9" t="s">
        <v>1729</v>
      </c>
      <c r="D672" s="21" t="s">
        <v>1730</v>
      </c>
      <c r="E672" s="29">
        <v>34666200000</v>
      </c>
      <c r="F672" s="9" t="s">
        <v>343</v>
      </c>
      <c r="G672" s="43">
        <v>45994</v>
      </c>
      <c r="H672" s="9" t="s">
        <v>856</v>
      </c>
      <c r="I672" s="4" t="s">
        <v>459</v>
      </c>
      <c r="K672" s="67" t="b">
        <v>1</v>
      </c>
      <c r="N672" s="67" t="b">
        <v>1</v>
      </c>
      <c r="S672" s="8"/>
    </row>
    <row r="673" spans="1:24" ht="14">
      <c r="A673" s="9" t="s">
        <v>5</v>
      </c>
      <c r="B673" s="9"/>
      <c r="C673" s="9" t="s">
        <v>1731</v>
      </c>
      <c r="D673" s="21" t="s">
        <v>1732</v>
      </c>
      <c r="E673" s="29">
        <v>34664607164</v>
      </c>
      <c r="F673" s="9" t="s">
        <v>91</v>
      </c>
      <c r="G673" s="43">
        <v>45994</v>
      </c>
      <c r="H673" s="9" t="s">
        <v>856</v>
      </c>
      <c r="I673" s="4" t="s">
        <v>459</v>
      </c>
      <c r="K673" s="67" t="b">
        <v>1</v>
      </c>
      <c r="N673" s="67" t="b">
        <v>1</v>
      </c>
      <c r="S673" s="8"/>
    </row>
    <row r="674" spans="1:24" ht="14">
      <c r="A674" s="9" t="s">
        <v>5</v>
      </c>
      <c r="B674" s="9"/>
      <c r="C674" s="9" t="s">
        <v>268</v>
      </c>
      <c r="D674" s="21" t="s">
        <v>269</v>
      </c>
      <c r="E674" s="29">
        <v>59169190017</v>
      </c>
      <c r="F674" s="9" t="s">
        <v>270</v>
      </c>
      <c r="G674" s="43">
        <v>45994</v>
      </c>
      <c r="H674" s="9" t="s">
        <v>856</v>
      </c>
      <c r="I674" s="4" t="s">
        <v>459</v>
      </c>
      <c r="K674" s="67" t="b">
        <v>1</v>
      </c>
      <c r="S674" s="8"/>
    </row>
    <row r="675" spans="1:24" ht="14">
      <c r="A675" s="9" t="s">
        <v>5</v>
      </c>
      <c r="B675" s="9"/>
      <c r="C675" s="9" t="s">
        <v>219</v>
      </c>
      <c r="D675" s="21" t="s">
        <v>220</v>
      </c>
      <c r="E675" s="29">
        <v>56951103760</v>
      </c>
      <c r="F675" s="9" t="s">
        <v>70</v>
      </c>
      <c r="G675" s="43">
        <v>45994</v>
      </c>
      <c r="H675" s="9" t="s">
        <v>856</v>
      </c>
      <c r="I675" s="4" t="s">
        <v>448</v>
      </c>
      <c r="K675" s="67" t="b">
        <v>1</v>
      </c>
      <c r="S675" s="4" t="s">
        <v>119</v>
      </c>
      <c r="T675" s="33">
        <v>45995</v>
      </c>
      <c r="U675" s="48">
        <v>58.3</v>
      </c>
      <c r="V675" s="7">
        <v>0.3</v>
      </c>
      <c r="W675" s="4">
        <v>3</v>
      </c>
      <c r="X675" s="8">
        <v>45717</v>
      </c>
    </row>
    <row r="676" spans="1:24" ht="14">
      <c r="A676" s="9" t="s">
        <v>5</v>
      </c>
      <c r="B676" s="9"/>
      <c r="C676" s="9" t="s">
        <v>1733</v>
      </c>
      <c r="D676" s="21" t="s">
        <v>1734</v>
      </c>
      <c r="E676" s="29">
        <v>34686497900</v>
      </c>
      <c r="F676" s="9" t="s">
        <v>8</v>
      </c>
      <c r="G676" s="43">
        <v>45995</v>
      </c>
      <c r="H676" s="9" t="s">
        <v>856</v>
      </c>
      <c r="I676" s="4" t="s">
        <v>459</v>
      </c>
      <c r="K676" s="67" t="b">
        <v>1</v>
      </c>
      <c r="S676" s="8"/>
    </row>
    <row r="677" spans="1:24" ht="12.5">
      <c r="A677" s="9" t="s">
        <v>5</v>
      </c>
      <c r="B677" s="4"/>
      <c r="C677" s="4" t="s">
        <v>221</v>
      </c>
      <c r="E677" s="4" t="s">
        <v>222</v>
      </c>
      <c r="F677" s="4" t="s">
        <v>223</v>
      </c>
      <c r="G677" s="43">
        <v>45995</v>
      </c>
      <c r="H677" s="9" t="s">
        <v>956</v>
      </c>
      <c r="I677" s="4" t="s">
        <v>448</v>
      </c>
      <c r="J677" s="4"/>
      <c r="K677" s="67" t="b">
        <v>1</v>
      </c>
      <c r="L677" s="4"/>
      <c r="M677" s="4"/>
      <c r="N677" s="4"/>
      <c r="O677" s="4"/>
      <c r="P677" s="4"/>
      <c r="Q677" s="4"/>
      <c r="R677" s="4"/>
      <c r="S677" s="8"/>
    </row>
    <row r="678" spans="1:24" ht="12.5">
      <c r="A678" s="9" t="s">
        <v>5</v>
      </c>
      <c r="B678" s="4"/>
      <c r="C678" s="4" t="s">
        <v>1735</v>
      </c>
      <c r="E678" s="4" t="s">
        <v>1736</v>
      </c>
      <c r="F678" s="4" t="s">
        <v>1737</v>
      </c>
      <c r="G678" s="43">
        <v>45995</v>
      </c>
      <c r="H678" s="9" t="s">
        <v>956</v>
      </c>
      <c r="I678" s="4" t="s">
        <v>459</v>
      </c>
      <c r="J678" s="4"/>
      <c r="K678" s="67" t="b">
        <v>1</v>
      </c>
      <c r="L678" s="4"/>
      <c r="M678" s="4"/>
      <c r="N678" s="67" t="b">
        <v>1</v>
      </c>
      <c r="O678" s="4"/>
      <c r="P678" s="4"/>
      <c r="Q678" s="4"/>
      <c r="R678" s="4"/>
      <c r="S678" s="8"/>
    </row>
    <row r="679" spans="1:24" ht="12.5">
      <c r="A679" s="4" t="s">
        <v>5</v>
      </c>
      <c r="B679" s="4"/>
      <c r="C679" s="4" t="s">
        <v>1738</v>
      </c>
      <c r="D679" s="4" t="s">
        <v>237</v>
      </c>
      <c r="E679" s="4">
        <v>34646077754</v>
      </c>
      <c r="F679" s="4" t="s">
        <v>52</v>
      </c>
      <c r="G679" s="43">
        <v>45995</v>
      </c>
      <c r="H679" s="9" t="s">
        <v>856</v>
      </c>
      <c r="I679" s="4" t="s">
        <v>448</v>
      </c>
      <c r="K679" s="67" t="b">
        <v>1</v>
      </c>
      <c r="N679" s="67" t="b">
        <v>1</v>
      </c>
      <c r="S679" s="4" t="s">
        <v>119</v>
      </c>
      <c r="T679" s="33">
        <v>45999</v>
      </c>
      <c r="U679" s="6">
        <v>112</v>
      </c>
      <c r="V679" s="7">
        <v>0.2</v>
      </c>
      <c r="W679" s="4">
        <v>1</v>
      </c>
      <c r="X679" s="8">
        <v>45658</v>
      </c>
    </row>
    <row r="680" spans="1:24" ht="12.5">
      <c r="A680" s="4" t="s">
        <v>5</v>
      </c>
      <c r="E680" s="4" t="s">
        <v>1739</v>
      </c>
      <c r="F680" s="4" t="s">
        <v>1282</v>
      </c>
      <c r="G680" s="43">
        <v>45995</v>
      </c>
      <c r="H680" s="9" t="s">
        <v>956</v>
      </c>
      <c r="I680" s="4" t="s">
        <v>459</v>
      </c>
      <c r="J680" s="4"/>
      <c r="K680" s="67" t="b">
        <v>1</v>
      </c>
      <c r="L680" s="4"/>
      <c r="M680" s="4"/>
      <c r="N680" s="4"/>
      <c r="O680" s="4"/>
      <c r="P680" s="4"/>
      <c r="Q680" s="4"/>
      <c r="R680" s="4"/>
      <c r="S680" s="8"/>
    </row>
    <row r="681" spans="1:24" ht="12.5">
      <c r="A681" s="4" t="s">
        <v>5</v>
      </c>
      <c r="B681" s="4"/>
      <c r="C681" s="4" t="s">
        <v>1740</v>
      </c>
      <c r="D681" s="4" t="s">
        <v>1741</v>
      </c>
      <c r="E681" s="4">
        <v>525511918886</v>
      </c>
      <c r="F681" s="4" t="s">
        <v>1277</v>
      </c>
      <c r="G681" s="32">
        <v>45995</v>
      </c>
      <c r="H681" s="4" t="s">
        <v>856</v>
      </c>
      <c r="I681" s="4" t="s">
        <v>459</v>
      </c>
      <c r="K681" s="67" t="b">
        <v>1</v>
      </c>
      <c r="S681" s="8"/>
    </row>
    <row r="682" spans="1:24" ht="12.5">
      <c r="A682" s="4" t="s">
        <v>5</v>
      </c>
      <c r="B682" s="4"/>
      <c r="C682" s="4" t="s">
        <v>1742</v>
      </c>
      <c r="D682" s="4" t="s">
        <v>1743</v>
      </c>
      <c r="E682" s="4">
        <v>573002818605</v>
      </c>
      <c r="F682" s="4" t="s">
        <v>40</v>
      </c>
      <c r="G682" s="32">
        <v>45995</v>
      </c>
      <c r="H682" s="4" t="s">
        <v>856</v>
      </c>
      <c r="I682" s="4" t="s">
        <v>459</v>
      </c>
      <c r="K682" s="67" t="b">
        <v>1</v>
      </c>
      <c r="S682" s="8"/>
    </row>
    <row r="683" spans="1:24" ht="12.5">
      <c r="A683" s="4" t="s">
        <v>5</v>
      </c>
      <c r="B683" s="4"/>
      <c r="C683" s="4" t="s">
        <v>1744</v>
      </c>
      <c r="D683" s="4" t="s">
        <v>1745</v>
      </c>
      <c r="E683" s="4">
        <v>525566963032</v>
      </c>
      <c r="F683" s="4" t="s">
        <v>292</v>
      </c>
      <c r="G683" s="32">
        <v>45995</v>
      </c>
      <c r="H683" s="4" t="s">
        <v>856</v>
      </c>
      <c r="I683" s="4" t="s">
        <v>459</v>
      </c>
      <c r="K683" s="67" t="b">
        <v>1</v>
      </c>
      <c r="S683" s="8"/>
    </row>
    <row r="684" spans="1:24" ht="12.5">
      <c r="A684" s="4" t="s">
        <v>5</v>
      </c>
      <c r="B684" s="4"/>
      <c r="C684" s="4" t="s">
        <v>1746</v>
      </c>
      <c r="D684" s="4" t="s">
        <v>1747</v>
      </c>
      <c r="E684" s="4">
        <v>34686345692</v>
      </c>
      <c r="F684" s="4" t="s">
        <v>8</v>
      </c>
      <c r="G684" s="32">
        <v>45996</v>
      </c>
      <c r="H684" s="4" t="s">
        <v>856</v>
      </c>
      <c r="I684" s="4" t="s">
        <v>459</v>
      </c>
      <c r="K684" s="67" t="b">
        <v>1</v>
      </c>
      <c r="N684" s="67" t="b">
        <v>1</v>
      </c>
      <c r="S684" s="8"/>
    </row>
    <row r="685" spans="1:24" ht="12.5">
      <c r="A685" s="4" t="s">
        <v>5</v>
      </c>
      <c r="B685" s="4"/>
      <c r="C685" s="4" t="s">
        <v>1748</v>
      </c>
      <c r="D685" s="4" t="s">
        <v>227</v>
      </c>
      <c r="E685" s="4">
        <v>524422822273</v>
      </c>
      <c r="F685" s="4" t="s">
        <v>228</v>
      </c>
      <c r="G685" s="32">
        <v>45996</v>
      </c>
      <c r="H685" s="4" t="s">
        <v>856</v>
      </c>
      <c r="I685" s="4" t="s">
        <v>448</v>
      </c>
      <c r="K685" s="67" t="b">
        <v>1</v>
      </c>
      <c r="S685" s="4" t="s">
        <v>119</v>
      </c>
      <c r="T685" s="33">
        <v>45996</v>
      </c>
      <c r="U685" s="6">
        <v>245</v>
      </c>
      <c r="V685" s="7">
        <v>0.3</v>
      </c>
      <c r="W685" s="4">
        <v>1</v>
      </c>
      <c r="X685" s="8">
        <v>45658</v>
      </c>
    </row>
    <row r="686" spans="1:24" ht="12.5">
      <c r="A686" s="4" t="s">
        <v>5</v>
      </c>
      <c r="B686" s="4"/>
      <c r="C686" s="4" t="s">
        <v>1749</v>
      </c>
      <c r="D686" s="4" t="s">
        <v>1750</v>
      </c>
      <c r="E686" s="4">
        <v>56975749672</v>
      </c>
      <c r="F686" s="4" t="s">
        <v>70</v>
      </c>
      <c r="G686" s="32">
        <v>45996</v>
      </c>
      <c r="H686" s="4" t="s">
        <v>856</v>
      </c>
      <c r="I686" s="4" t="s">
        <v>459</v>
      </c>
      <c r="K686" s="67" t="b">
        <v>1</v>
      </c>
      <c r="S686" s="8"/>
    </row>
    <row r="687" spans="1:24" ht="12.5">
      <c r="A687" s="4" t="s">
        <v>5</v>
      </c>
      <c r="B687" s="4"/>
      <c r="C687" s="4" t="s">
        <v>1751</v>
      </c>
      <c r="D687" s="4" t="s">
        <v>1752</v>
      </c>
      <c r="E687" s="4">
        <v>529982605406</v>
      </c>
      <c r="F687" s="4" t="s">
        <v>27</v>
      </c>
      <c r="G687" s="32">
        <v>45996</v>
      </c>
      <c r="H687" s="4" t="s">
        <v>856</v>
      </c>
      <c r="I687" s="4" t="s">
        <v>459</v>
      </c>
      <c r="K687" s="67" t="b">
        <v>1</v>
      </c>
      <c r="S687" s="8"/>
    </row>
    <row r="688" spans="1:24" ht="12.5">
      <c r="A688" s="4" t="s">
        <v>5</v>
      </c>
      <c r="B688" s="4"/>
      <c r="C688" s="4" t="s">
        <v>1753</v>
      </c>
      <c r="D688" s="4" t="s">
        <v>1754</v>
      </c>
      <c r="E688" s="4">
        <v>34639408987</v>
      </c>
      <c r="F688" s="4" t="s">
        <v>129</v>
      </c>
      <c r="G688" s="32">
        <v>45996</v>
      </c>
      <c r="H688" s="4" t="s">
        <v>856</v>
      </c>
      <c r="I688" s="4" t="s">
        <v>459</v>
      </c>
      <c r="K688" s="67" t="b">
        <v>1</v>
      </c>
      <c r="N688" s="67" t="b">
        <v>1</v>
      </c>
      <c r="S688" s="8"/>
    </row>
    <row r="689" spans="1:24" ht="12.5">
      <c r="A689" s="4" t="s">
        <v>5</v>
      </c>
      <c r="B689" s="4"/>
      <c r="C689" s="4" t="s">
        <v>231</v>
      </c>
      <c r="D689" s="4" t="s">
        <v>232</v>
      </c>
      <c r="E689" s="4">
        <v>34686595193</v>
      </c>
      <c r="F689" s="4" t="s">
        <v>233</v>
      </c>
      <c r="G689" s="32">
        <v>45996</v>
      </c>
      <c r="H689" s="4" t="s">
        <v>856</v>
      </c>
      <c r="I689" s="4" t="s">
        <v>448</v>
      </c>
      <c r="K689" s="67" t="b">
        <v>1</v>
      </c>
      <c r="S689" s="4" t="s">
        <v>119</v>
      </c>
      <c r="T689" s="33">
        <v>45999</v>
      </c>
      <c r="U689" s="6">
        <v>203</v>
      </c>
      <c r="V689" s="7">
        <v>0.3</v>
      </c>
      <c r="W689" s="4">
        <v>1</v>
      </c>
      <c r="X689" s="8">
        <v>45658</v>
      </c>
    </row>
    <row r="690" spans="1:24" ht="12.5">
      <c r="A690" s="4" t="s">
        <v>5</v>
      </c>
      <c r="B690" s="4"/>
      <c r="C690" s="4" t="s">
        <v>1755</v>
      </c>
      <c r="D690" s="4" t="s">
        <v>1756</v>
      </c>
      <c r="E690" s="4">
        <v>573059019455</v>
      </c>
      <c r="F690" s="4" t="s">
        <v>1582</v>
      </c>
      <c r="G690" s="32">
        <v>45996</v>
      </c>
      <c r="H690" s="4" t="s">
        <v>856</v>
      </c>
      <c r="I690" s="4" t="s">
        <v>459</v>
      </c>
      <c r="K690" s="67" t="b">
        <v>1</v>
      </c>
      <c r="S690" s="8"/>
    </row>
    <row r="691" spans="1:24" ht="12.5">
      <c r="A691" s="4" t="s">
        <v>5</v>
      </c>
      <c r="B691" s="4"/>
      <c r="C691" s="4" t="s">
        <v>1757</v>
      </c>
      <c r="D691" s="4" t="s">
        <v>1758</v>
      </c>
      <c r="E691" s="4">
        <v>34638732320</v>
      </c>
      <c r="F691" s="4" t="s">
        <v>1759</v>
      </c>
      <c r="G691" s="32">
        <v>45997</v>
      </c>
      <c r="H691" s="4" t="s">
        <v>856</v>
      </c>
      <c r="I691" s="4" t="s">
        <v>886</v>
      </c>
      <c r="K691" s="67" t="b">
        <v>1</v>
      </c>
      <c r="S691" s="8"/>
    </row>
    <row r="692" spans="1:24" ht="12.5">
      <c r="A692" s="4" t="s">
        <v>5</v>
      </c>
      <c r="B692" s="4"/>
      <c r="C692" s="4" t="s">
        <v>1760</v>
      </c>
      <c r="D692" s="4" t="s">
        <v>1758</v>
      </c>
      <c r="E692" s="4">
        <v>34638732320</v>
      </c>
      <c r="F692" s="4" t="s">
        <v>1759</v>
      </c>
      <c r="G692" s="32">
        <v>45997</v>
      </c>
      <c r="H692" s="4" t="s">
        <v>856</v>
      </c>
      <c r="I692" s="4" t="s">
        <v>886</v>
      </c>
      <c r="K692" s="67" t="b">
        <v>1</v>
      </c>
      <c r="N692" s="67" t="b">
        <v>1</v>
      </c>
      <c r="S692" s="8"/>
    </row>
    <row r="693" spans="1:24" ht="12.5">
      <c r="A693" s="4" t="s">
        <v>5</v>
      </c>
      <c r="B693" s="4"/>
      <c r="C693" s="4" t="s">
        <v>1761</v>
      </c>
      <c r="D693" s="4" t="s">
        <v>1762</v>
      </c>
      <c r="E693" s="4">
        <v>34692801540</v>
      </c>
      <c r="F693" s="4" t="s">
        <v>1282</v>
      </c>
      <c r="G693" s="32">
        <v>45997</v>
      </c>
      <c r="H693" s="4" t="s">
        <v>856</v>
      </c>
      <c r="I693" s="4" t="s">
        <v>459</v>
      </c>
      <c r="K693" s="67" t="b">
        <v>1</v>
      </c>
      <c r="N693" s="67" t="b">
        <v>1</v>
      </c>
      <c r="S693" s="8"/>
    </row>
    <row r="694" spans="1:24" ht="12.5">
      <c r="A694" s="4" t="s">
        <v>381</v>
      </c>
      <c r="B694" s="4"/>
      <c r="C694" s="4" t="s">
        <v>1763</v>
      </c>
      <c r="D694" s="4" t="s">
        <v>1764</v>
      </c>
      <c r="E694" s="4">
        <v>13059000096</v>
      </c>
      <c r="F694" s="4" t="s">
        <v>1765</v>
      </c>
      <c r="G694" s="32">
        <v>45998</v>
      </c>
      <c r="H694" s="4" t="s">
        <v>856</v>
      </c>
      <c r="I694" s="4" t="s">
        <v>459</v>
      </c>
      <c r="K694" s="67" t="b">
        <v>1</v>
      </c>
      <c r="S694" s="8"/>
    </row>
    <row r="695" spans="1:24" ht="12.5">
      <c r="A695" s="4" t="s">
        <v>5</v>
      </c>
      <c r="B695" s="4"/>
      <c r="C695" s="4" t="s">
        <v>1766</v>
      </c>
      <c r="D695" s="4" t="s">
        <v>1767</v>
      </c>
      <c r="E695" s="4">
        <v>56934326523</v>
      </c>
      <c r="F695" s="4" t="s">
        <v>292</v>
      </c>
      <c r="G695" s="32">
        <v>45998</v>
      </c>
      <c r="H695" s="4" t="s">
        <v>856</v>
      </c>
      <c r="I695" s="4" t="s">
        <v>459</v>
      </c>
      <c r="K695" s="67" t="b">
        <v>1</v>
      </c>
      <c r="S695" s="8"/>
    </row>
    <row r="696" spans="1:24" ht="12.5">
      <c r="A696" s="4" t="s">
        <v>381</v>
      </c>
      <c r="B696" s="4"/>
      <c r="C696" s="4" t="s">
        <v>1768</v>
      </c>
      <c r="D696" s="4" t="s">
        <v>1769</v>
      </c>
      <c r="E696" s="4">
        <v>34000000000</v>
      </c>
      <c r="F696" s="4" t="s">
        <v>1770</v>
      </c>
      <c r="G696" s="32">
        <v>45998</v>
      </c>
      <c r="H696" s="4" t="s">
        <v>856</v>
      </c>
      <c r="I696" s="4" t="s">
        <v>459</v>
      </c>
      <c r="K696" s="67" t="b">
        <v>1</v>
      </c>
      <c r="L696" s="68" t="b">
        <v>1</v>
      </c>
      <c r="S696" s="8"/>
    </row>
    <row r="697" spans="1:24" ht="12.5">
      <c r="A697" s="4" t="s">
        <v>5</v>
      </c>
      <c r="B697" s="4"/>
      <c r="C697" s="4" t="s">
        <v>1771</v>
      </c>
      <c r="D697" s="4" t="s">
        <v>1772</v>
      </c>
      <c r="E697" s="4">
        <v>51962345155</v>
      </c>
      <c r="F697" s="4" t="s">
        <v>283</v>
      </c>
      <c r="G697" s="32">
        <v>45998</v>
      </c>
      <c r="H697" s="4" t="s">
        <v>856</v>
      </c>
      <c r="I697" s="4" t="s">
        <v>459</v>
      </c>
      <c r="K697" s="67" t="b">
        <v>1</v>
      </c>
      <c r="S697" s="8"/>
    </row>
    <row r="698" spans="1:24" ht="14">
      <c r="A698" s="4" t="s">
        <v>5</v>
      </c>
      <c r="B698" s="41"/>
      <c r="C698" s="41" t="s">
        <v>234</v>
      </c>
      <c r="D698" s="42" t="s">
        <v>1773</v>
      </c>
      <c r="E698" s="4" t="s">
        <v>235</v>
      </c>
      <c r="F698" s="4" t="s">
        <v>236</v>
      </c>
      <c r="G698" s="32">
        <v>45999</v>
      </c>
      <c r="H698" s="9" t="s">
        <v>956</v>
      </c>
      <c r="I698" s="4" t="s">
        <v>448</v>
      </c>
      <c r="J698" s="4"/>
      <c r="K698" s="67" t="b">
        <v>1</v>
      </c>
      <c r="L698" s="4"/>
      <c r="M698" s="4"/>
      <c r="N698" s="4"/>
      <c r="O698" s="4"/>
      <c r="P698" s="4"/>
      <c r="Q698" s="4"/>
      <c r="R698" s="4"/>
      <c r="S698" s="4" t="s">
        <v>119</v>
      </c>
      <c r="T698" s="33">
        <v>45999</v>
      </c>
      <c r="U698" s="6">
        <v>131.69999999999999</v>
      </c>
    </row>
    <row r="699" spans="1:24" ht="12.5">
      <c r="A699" s="4" t="s">
        <v>240</v>
      </c>
      <c r="B699" s="4"/>
      <c r="C699" s="4" t="s">
        <v>241</v>
      </c>
      <c r="D699" s="4" t="s">
        <v>242</v>
      </c>
      <c r="E699" s="4" t="s">
        <v>243</v>
      </c>
      <c r="F699" s="4" t="s">
        <v>244</v>
      </c>
      <c r="G699" s="32">
        <v>45999</v>
      </c>
      <c r="H699" s="9" t="s">
        <v>956</v>
      </c>
      <c r="I699" s="4" t="s">
        <v>448</v>
      </c>
      <c r="J699" s="4"/>
      <c r="K699" s="67" t="b">
        <v>1</v>
      </c>
      <c r="L699" s="4"/>
      <c r="M699" s="4"/>
      <c r="N699" s="67" t="b">
        <v>1</v>
      </c>
      <c r="O699" s="4"/>
      <c r="P699" s="4"/>
      <c r="Q699" s="4"/>
      <c r="R699" s="4"/>
      <c r="S699" s="4" t="s">
        <v>119</v>
      </c>
      <c r="T699" s="33">
        <v>46000</v>
      </c>
      <c r="U699" s="6">
        <v>120</v>
      </c>
      <c r="V699" s="4">
        <v>0</v>
      </c>
      <c r="W699" s="4">
        <v>1</v>
      </c>
      <c r="X699" s="8">
        <v>45778</v>
      </c>
    </row>
    <row r="700" spans="1:24" ht="12.5">
      <c r="A700" s="4" t="s">
        <v>5</v>
      </c>
      <c r="B700" s="4"/>
      <c r="C700" s="4" t="s">
        <v>1774</v>
      </c>
      <c r="D700" s="4" t="s">
        <v>1775</v>
      </c>
      <c r="E700" s="4">
        <v>34626160112</v>
      </c>
      <c r="F700" s="4" t="s">
        <v>8</v>
      </c>
      <c r="G700" s="32">
        <v>45999</v>
      </c>
      <c r="H700" s="9" t="s">
        <v>856</v>
      </c>
      <c r="I700" s="4" t="s">
        <v>459</v>
      </c>
      <c r="K700" s="67" t="b">
        <v>1</v>
      </c>
      <c r="S700" s="8"/>
    </row>
    <row r="701" spans="1:24" ht="12.5">
      <c r="A701" s="4" t="s">
        <v>5</v>
      </c>
      <c r="B701" s="4"/>
      <c r="C701" s="4" t="s">
        <v>1776</v>
      </c>
      <c r="D701" s="4" t="s">
        <v>1777</v>
      </c>
      <c r="E701" s="4">
        <v>34695437322</v>
      </c>
      <c r="F701" s="4" t="s">
        <v>172</v>
      </c>
      <c r="G701" s="32">
        <v>46000</v>
      </c>
      <c r="H701" s="9" t="s">
        <v>856</v>
      </c>
      <c r="I701" s="4" t="s">
        <v>459</v>
      </c>
      <c r="K701" s="67" t="b">
        <v>1</v>
      </c>
      <c r="S701" s="8"/>
    </row>
    <row r="702" spans="1:24" ht="12.5">
      <c r="A702" s="4" t="s">
        <v>5</v>
      </c>
      <c r="B702" s="4"/>
      <c r="C702" s="4" t="s">
        <v>238</v>
      </c>
      <c r="D702" s="4" t="s">
        <v>239</v>
      </c>
      <c r="E702" s="4">
        <v>34691405353</v>
      </c>
      <c r="F702" s="4" t="s">
        <v>70</v>
      </c>
      <c r="G702" s="32">
        <v>46000</v>
      </c>
      <c r="H702" s="9" t="s">
        <v>856</v>
      </c>
      <c r="I702" s="4" t="s">
        <v>448</v>
      </c>
      <c r="K702" s="67" t="b">
        <v>1</v>
      </c>
      <c r="S702" s="4" t="s">
        <v>119</v>
      </c>
      <c r="T702" s="33">
        <v>46000</v>
      </c>
      <c r="U702" s="2">
        <v>83.4</v>
      </c>
      <c r="V702" s="4">
        <v>0</v>
      </c>
      <c r="W702" s="4">
        <v>1</v>
      </c>
      <c r="X702" s="8">
        <v>45690</v>
      </c>
    </row>
    <row r="703" spans="1:24" ht="12.5">
      <c r="A703" s="4" t="s">
        <v>5</v>
      </c>
      <c r="B703" s="4"/>
      <c r="C703" s="4" t="s">
        <v>21</v>
      </c>
      <c r="D703" s="4" t="s">
        <v>1778</v>
      </c>
      <c r="E703" s="4">
        <v>34618071593</v>
      </c>
      <c r="F703" s="4" t="s">
        <v>52</v>
      </c>
      <c r="G703" s="32">
        <v>46000</v>
      </c>
      <c r="H703" s="9" t="s">
        <v>856</v>
      </c>
      <c r="I703" s="4" t="s">
        <v>459</v>
      </c>
      <c r="K703" s="67" t="b">
        <v>1</v>
      </c>
      <c r="S703" s="8"/>
    </row>
    <row r="704" spans="1:24" ht="12.5">
      <c r="A704" s="4" t="s">
        <v>5</v>
      </c>
      <c r="B704" s="4"/>
      <c r="C704" s="4" t="s">
        <v>1779</v>
      </c>
      <c r="D704" s="4" t="s">
        <v>1780</v>
      </c>
      <c r="E704" s="4">
        <v>542923486689</v>
      </c>
      <c r="F704" s="4" t="s">
        <v>646</v>
      </c>
      <c r="G704" s="32">
        <v>46000</v>
      </c>
      <c r="H704" s="9" t="s">
        <v>856</v>
      </c>
      <c r="I704" s="4" t="s">
        <v>459</v>
      </c>
      <c r="K704" s="67" t="b">
        <v>1</v>
      </c>
      <c r="S704" s="8"/>
    </row>
    <row r="705" spans="1:24" ht="12.5">
      <c r="A705" s="4" t="s">
        <v>5</v>
      </c>
      <c r="B705" s="4"/>
      <c r="C705" s="4" t="s">
        <v>246</v>
      </c>
      <c r="D705" s="4" t="s">
        <v>247</v>
      </c>
      <c r="E705" s="4">
        <v>393471297584</v>
      </c>
      <c r="F705" s="4" t="s">
        <v>8</v>
      </c>
      <c r="G705" s="32">
        <v>46000</v>
      </c>
      <c r="H705" s="9" t="s">
        <v>856</v>
      </c>
      <c r="I705" s="4" t="s">
        <v>448</v>
      </c>
      <c r="K705" s="67" t="b">
        <v>1</v>
      </c>
      <c r="N705" s="67" t="b">
        <v>1</v>
      </c>
      <c r="S705" s="4" t="s">
        <v>119</v>
      </c>
      <c r="T705" s="18">
        <v>46007</v>
      </c>
      <c r="U705" s="6">
        <v>299</v>
      </c>
      <c r="V705" s="4">
        <v>0</v>
      </c>
      <c r="W705" s="4">
        <v>1</v>
      </c>
      <c r="X705" s="8">
        <v>45658</v>
      </c>
    </row>
    <row r="706" spans="1:24" ht="12.5">
      <c r="A706" s="4" t="s">
        <v>5</v>
      </c>
      <c r="B706" s="4"/>
      <c r="C706" s="4" t="s">
        <v>1781</v>
      </c>
      <c r="D706" s="4" t="s">
        <v>1782</v>
      </c>
      <c r="E706" s="4">
        <v>34611664661</v>
      </c>
      <c r="F706" s="4" t="s">
        <v>1783</v>
      </c>
      <c r="G706" s="32">
        <v>46000</v>
      </c>
      <c r="H706" s="9" t="s">
        <v>856</v>
      </c>
      <c r="I706" s="4" t="s">
        <v>459</v>
      </c>
      <c r="K706" s="67" t="b">
        <v>1</v>
      </c>
      <c r="S706" s="8"/>
    </row>
    <row r="707" spans="1:24" ht="12.5">
      <c r="A707" s="4" t="s">
        <v>381</v>
      </c>
      <c r="B707" s="4"/>
      <c r="C707" s="4" t="s">
        <v>1784</v>
      </c>
      <c r="E707" s="4" t="s">
        <v>1785</v>
      </c>
      <c r="F707" s="4" t="s">
        <v>1786</v>
      </c>
      <c r="G707" s="32">
        <v>46000</v>
      </c>
      <c r="H707" s="9" t="s">
        <v>956</v>
      </c>
      <c r="I707" s="4" t="s">
        <v>459</v>
      </c>
      <c r="J707" s="4"/>
      <c r="K707" s="67" t="b">
        <v>1</v>
      </c>
      <c r="L707" s="4"/>
      <c r="M707" s="4"/>
      <c r="N707" s="4"/>
      <c r="O707" s="4"/>
      <c r="P707" s="4"/>
      <c r="Q707" s="4"/>
      <c r="R707" s="4"/>
      <c r="S707" s="8"/>
    </row>
    <row r="708" spans="1:24" ht="12.5">
      <c r="A708" s="4" t="s">
        <v>381</v>
      </c>
      <c r="B708" s="4"/>
      <c r="C708" s="4" t="s">
        <v>1787</v>
      </c>
      <c r="E708" s="4" t="s">
        <v>1788</v>
      </c>
      <c r="F708" s="4" t="s">
        <v>1789</v>
      </c>
      <c r="G708" s="32">
        <v>46000</v>
      </c>
      <c r="H708" s="9" t="s">
        <v>956</v>
      </c>
      <c r="I708" s="4" t="s">
        <v>459</v>
      </c>
      <c r="J708" s="4"/>
      <c r="K708" s="67" t="b">
        <v>1</v>
      </c>
      <c r="L708" s="4"/>
      <c r="M708" s="4"/>
      <c r="N708" s="4"/>
      <c r="O708" s="4"/>
      <c r="P708" s="4"/>
      <c r="Q708" s="4"/>
      <c r="R708" s="4"/>
      <c r="S708" s="8"/>
    </row>
    <row r="709" spans="1:24" ht="12.5">
      <c r="A709" s="4" t="s">
        <v>5</v>
      </c>
      <c r="B709" s="4"/>
      <c r="C709" s="4" t="s">
        <v>1790</v>
      </c>
      <c r="D709" s="4" t="s">
        <v>1791</v>
      </c>
      <c r="E709" s="4">
        <v>34654597806</v>
      </c>
      <c r="F709" s="4" t="s">
        <v>52</v>
      </c>
      <c r="G709" s="32">
        <v>46000</v>
      </c>
      <c r="H709" s="9" t="s">
        <v>856</v>
      </c>
      <c r="I709" s="4" t="s">
        <v>459</v>
      </c>
      <c r="K709" s="67" t="b">
        <v>1</v>
      </c>
      <c r="S709" s="8"/>
    </row>
    <row r="710" spans="1:24" ht="12.5">
      <c r="A710" s="4" t="s">
        <v>5</v>
      </c>
      <c r="B710" s="4"/>
      <c r="C710" s="4" t="s">
        <v>1792</v>
      </c>
      <c r="D710" s="4" t="s">
        <v>1793</v>
      </c>
      <c r="E710" s="4">
        <v>573042814100</v>
      </c>
      <c r="F710" s="4" t="s">
        <v>1468</v>
      </c>
      <c r="G710" s="32">
        <v>46000</v>
      </c>
      <c r="H710" s="9" t="s">
        <v>856</v>
      </c>
      <c r="I710" s="4" t="s">
        <v>459</v>
      </c>
      <c r="K710" s="67" t="b">
        <v>0</v>
      </c>
      <c r="S710" s="8"/>
    </row>
    <row r="711" spans="1:24" ht="12.5">
      <c r="A711" s="4" t="s">
        <v>5</v>
      </c>
      <c r="B711" s="4"/>
      <c r="C711" s="4" t="s">
        <v>1794</v>
      </c>
      <c r="D711" s="4" t="s">
        <v>1795</v>
      </c>
      <c r="E711" s="4">
        <v>34664158115</v>
      </c>
      <c r="F711" s="4" t="s">
        <v>63</v>
      </c>
      <c r="G711" s="32">
        <v>46000</v>
      </c>
      <c r="H711" s="9" t="s">
        <v>856</v>
      </c>
      <c r="I711" s="4" t="s">
        <v>459</v>
      </c>
      <c r="K711" s="67" t="b">
        <v>0</v>
      </c>
      <c r="S711" s="8"/>
    </row>
    <row r="712" spans="1:24" ht="12.5">
      <c r="A712" s="4" t="s">
        <v>5</v>
      </c>
      <c r="B712" s="4"/>
      <c r="C712" s="4" t="s">
        <v>1796</v>
      </c>
      <c r="D712" s="4" t="s">
        <v>1797</v>
      </c>
      <c r="E712" s="4">
        <v>34610451763</v>
      </c>
      <c r="F712" s="4" t="s">
        <v>310</v>
      </c>
      <c r="G712" s="32">
        <v>46001</v>
      </c>
      <c r="H712" s="9" t="s">
        <v>856</v>
      </c>
      <c r="I712" s="4" t="s">
        <v>459</v>
      </c>
      <c r="K712" s="67" t="b">
        <v>1</v>
      </c>
      <c r="S712" s="8"/>
    </row>
    <row r="713" spans="1:24" ht="12.5">
      <c r="A713" s="4" t="s">
        <v>381</v>
      </c>
      <c r="E713" s="4" t="s">
        <v>1798</v>
      </c>
      <c r="F713" s="4" t="s">
        <v>1799</v>
      </c>
      <c r="G713" s="32">
        <v>46001</v>
      </c>
      <c r="H713" s="9" t="s">
        <v>956</v>
      </c>
      <c r="I713" s="4" t="s">
        <v>459</v>
      </c>
      <c r="J713" s="4"/>
      <c r="K713" s="67" t="b">
        <v>1</v>
      </c>
      <c r="L713" s="4"/>
      <c r="M713" s="4"/>
      <c r="N713" s="4"/>
      <c r="O713" s="4"/>
      <c r="P713" s="4"/>
      <c r="Q713" s="4"/>
      <c r="R713" s="4"/>
      <c r="S713" s="8"/>
    </row>
    <row r="714" spans="1:24" ht="12.5">
      <c r="A714" s="4" t="s">
        <v>5</v>
      </c>
      <c r="B714" s="4"/>
      <c r="C714" s="4" t="s">
        <v>1800</v>
      </c>
      <c r="D714" s="4" t="s">
        <v>1801</v>
      </c>
      <c r="E714" s="4">
        <v>56939662645</v>
      </c>
      <c r="F714" s="4" t="s">
        <v>70</v>
      </c>
      <c r="G714" s="32">
        <v>46001</v>
      </c>
      <c r="H714" s="9" t="s">
        <v>856</v>
      </c>
      <c r="I714" s="4" t="s">
        <v>459</v>
      </c>
      <c r="K714" s="67" t="b">
        <v>1</v>
      </c>
      <c r="S714" s="8"/>
    </row>
    <row r="715" spans="1:24" ht="12.5">
      <c r="A715" s="4" t="s">
        <v>5</v>
      </c>
      <c r="B715" s="4"/>
      <c r="C715" s="4" t="s">
        <v>1802</v>
      </c>
      <c r="D715" s="4" t="s">
        <v>1803</v>
      </c>
      <c r="E715" s="4">
        <v>17865416004</v>
      </c>
      <c r="F715" s="4" t="s">
        <v>40</v>
      </c>
      <c r="G715" s="32">
        <v>46001</v>
      </c>
      <c r="H715" s="9" t="s">
        <v>856</v>
      </c>
      <c r="I715" s="4" t="s">
        <v>459</v>
      </c>
      <c r="K715" s="67" t="b">
        <v>1</v>
      </c>
      <c r="S715" s="8"/>
    </row>
    <row r="716" spans="1:24" ht="12.5">
      <c r="A716" s="4" t="s">
        <v>5</v>
      </c>
      <c r="B716" s="4"/>
      <c r="C716" s="4" t="s">
        <v>1804</v>
      </c>
      <c r="D716" s="4" t="s">
        <v>1805</v>
      </c>
      <c r="E716" s="4">
        <v>34616607871</v>
      </c>
      <c r="F716" s="4" t="s">
        <v>8</v>
      </c>
      <c r="G716" s="32">
        <v>46001</v>
      </c>
      <c r="H716" s="9" t="s">
        <v>856</v>
      </c>
      <c r="I716" s="4" t="s">
        <v>459</v>
      </c>
      <c r="K716" s="67" t="b">
        <v>1</v>
      </c>
      <c r="S716" s="8"/>
    </row>
    <row r="717" spans="1:24" ht="12.5">
      <c r="A717" s="4" t="s">
        <v>5</v>
      </c>
      <c r="B717" s="4"/>
      <c r="C717" s="4" t="s">
        <v>1806</v>
      </c>
      <c r="D717" s="4" t="s">
        <v>1807</v>
      </c>
      <c r="E717" s="4">
        <v>56963080262</v>
      </c>
      <c r="F717" s="4" t="s">
        <v>70</v>
      </c>
      <c r="G717" s="32">
        <v>46001</v>
      </c>
      <c r="H717" s="9" t="s">
        <v>856</v>
      </c>
      <c r="I717" s="4" t="s">
        <v>459</v>
      </c>
      <c r="K717" s="67" t="b">
        <v>1</v>
      </c>
      <c r="S717" s="8"/>
    </row>
    <row r="718" spans="1:24" ht="12.5">
      <c r="A718" s="4" t="s">
        <v>5</v>
      </c>
      <c r="B718" s="4"/>
      <c r="C718" s="4" t="s">
        <v>1808</v>
      </c>
      <c r="D718" s="4" t="s">
        <v>337</v>
      </c>
      <c r="E718" s="4">
        <v>541134540806</v>
      </c>
      <c r="F718" s="4" t="s">
        <v>338</v>
      </c>
      <c r="G718" s="32">
        <v>46002</v>
      </c>
      <c r="H718" s="9" t="s">
        <v>856</v>
      </c>
      <c r="I718" s="4" t="s">
        <v>459</v>
      </c>
      <c r="K718" s="67" t="b">
        <v>1</v>
      </c>
      <c r="S718" s="8"/>
    </row>
    <row r="719" spans="1:24" ht="12.5">
      <c r="A719" s="4" t="s">
        <v>5</v>
      </c>
      <c r="B719" s="4"/>
      <c r="C719" s="4" t="s">
        <v>1809</v>
      </c>
      <c r="D719" s="4" t="s">
        <v>1810</v>
      </c>
      <c r="E719" s="4">
        <v>34677174903</v>
      </c>
      <c r="F719" s="4" t="s">
        <v>1811</v>
      </c>
      <c r="G719" s="32">
        <v>46002</v>
      </c>
      <c r="H719" s="9" t="s">
        <v>856</v>
      </c>
      <c r="I719" s="4" t="s">
        <v>459</v>
      </c>
      <c r="K719" s="67" t="b">
        <v>1</v>
      </c>
      <c r="S719" s="8"/>
    </row>
    <row r="720" spans="1:24" ht="12.5">
      <c r="A720" s="4" t="s">
        <v>5</v>
      </c>
      <c r="B720" s="4"/>
      <c r="C720" s="4" t="s">
        <v>1812</v>
      </c>
      <c r="D720" s="4" t="s">
        <v>1813</v>
      </c>
      <c r="E720" s="4">
        <v>34697622447</v>
      </c>
      <c r="F720" s="4" t="s">
        <v>1814</v>
      </c>
      <c r="G720" s="32">
        <v>46003</v>
      </c>
      <c r="H720" s="9" t="s">
        <v>856</v>
      </c>
      <c r="I720" s="4" t="s">
        <v>459</v>
      </c>
      <c r="J720" s="68" t="b">
        <v>1</v>
      </c>
      <c r="K720" s="67" t="b">
        <v>1</v>
      </c>
      <c r="N720" s="67" t="b">
        <v>1</v>
      </c>
      <c r="S720" s="8"/>
    </row>
    <row r="721" spans="1:24" ht="12.5">
      <c r="A721" s="4" t="s">
        <v>5</v>
      </c>
      <c r="B721" s="4"/>
      <c r="C721" s="4" t="s">
        <v>1815</v>
      </c>
      <c r="D721" s="4" t="s">
        <v>1816</v>
      </c>
      <c r="E721" s="4">
        <v>34648867494</v>
      </c>
      <c r="F721" s="4" t="s">
        <v>1817</v>
      </c>
      <c r="G721" s="32">
        <v>46003</v>
      </c>
      <c r="H721" s="9" t="s">
        <v>856</v>
      </c>
      <c r="I721" s="4" t="s">
        <v>459</v>
      </c>
      <c r="J721" s="68" t="b">
        <v>1</v>
      </c>
      <c r="K721" s="67" t="b">
        <v>1</v>
      </c>
      <c r="N721" s="67" t="b">
        <v>1</v>
      </c>
      <c r="S721" s="8"/>
    </row>
    <row r="722" spans="1:24" ht="12.5">
      <c r="A722" s="4" t="s">
        <v>5</v>
      </c>
      <c r="B722" s="4"/>
      <c r="C722" s="4" t="s">
        <v>320</v>
      </c>
      <c r="D722" s="4" t="s">
        <v>1707</v>
      </c>
      <c r="E722" s="4">
        <v>111139498266</v>
      </c>
      <c r="F722" s="4" t="s">
        <v>8</v>
      </c>
      <c r="G722" s="32">
        <v>46003</v>
      </c>
      <c r="H722" s="9" t="s">
        <v>856</v>
      </c>
      <c r="I722" s="4" t="s">
        <v>459</v>
      </c>
      <c r="J722" s="68" t="b">
        <v>1</v>
      </c>
      <c r="K722" s="67" t="b">
        <v>0</v>
      </c>
      <c r="L722" s="68" t="b">
        <v>1</v>
      </c>
      <c r="S722" s="8"/>
    </row>
    <row r="723" spans="1:24" ht="12.5">
      <c r="A723" s="4" t="s">
        <v>5</v>
      </c>
      <c r="B723" s="4"/>
      <c r="C723" s="4" t="s">
        <v>1818</v>
      </c>
      <c r="D723" s="4" t="s">
        <v>1819</v>
      </c>
      <c r="E723" s="4">
        <v>525530262688</v>
      </c>
      <c r="F723" s="4" t="s">
        <v>706</v>
      </c>
      <c r="G723" s="32">
        <v>46003</v>
      </c>
      <c r="H723" s="9" t="s">
        <v>856</v>
      </c>
      <c r="I723" s="4" t="s">
        <v>459</v>
      </c>
      <c r="J723" s="68" t="b">
        <v>1</v>
      </c>
      <c r="K723" s="67" t="b">
        <v>1</v>
      </c>
      <c r="S723" s="8"/>
    </row>
    <row r="724" spans="1:24" ht="12.5">
      <c r="A724" s="4" t="s">
        <v>5</v>
      </c>
      <c r="B724" s="4"/>
      <c r="C724" s="4" t="s">
        <v>1820</v>
      </c>
      <c r="D724" s="4" t="s">
        <v>1133</v>
      </c>
      <c r="E724" s="4">
        <v>34680998964</v>
      </c>
      <c r="F724" s="4" t="s">
        <v>1134</v>
      </c>
      <c r="G724" s="32">
        <v>46004</v>
      </c>
      <c r="H724" s="9" t="s">
        <v>856</v>
      </c>
      <c r="I724" s="4" t="s">
        <v>459</v>
      </c>
      <c r="J724" s="68" t="b">
        <v>1</v>
      </c>
      <c r="K724" s="67" t="b">
        <v>1</v>
      </c>
      <c r="S724" s="8"/>
    </row>
    <row r="725" spans="1:24" ht="12.5">
      <c r="A725" s="4" t="s">
        <v>5</v>
      </c>
      <c r="B725" s="4"/>
      <c r="C725" s="4" t="s">
        <v>1821</v>
      </c>
      <c r="D725" s="4" t="s">
        <v>1822</v>
      </c>
      <c r="E725" s="4">
        <v>43787200438</v>
      </c>
      <c r="F725" s="4" t="s">
        <v>1823</v>
      </c>
      <c r="G725" s="32">
        <v>46004</v>
      </c>
      <c r="H725" s="9" t="s">
        <v>856</v>
      </c>
      <c r="I725" s="4" t="s">
        <v>459</v>
      </c>
      <c r="K725" s="67" t="b">
        <v>0</v>
      </c>
      <c r="L725" s="68" t="b">
        <v>1</v>
      </c>
      <c r="S725" s="8"/>
    </row>
    <row r="726" spans="1:24" ht="12.5">
      <c r="A726" s="4" t="s">
        <v>381</v>
      </c>
      <c r="B726" s="4"/>
      <c r="C726" s="4" t="s">
        <v>1824</v>
      </c>
      <c r="D726" s="4" t="s">
        <v>1825</v>
      </c>
      <c r="E726" s="4">
        <v>5493793598974</v>
      </c>
      <c r="F726" s="4" t="s">
        <v>1826</v>
      </c>
      <c r="G726" s="32">
        <v>46005</v>
      </c>
      <c r="H726" s="9" t="s">
        <v>856</v>
      </c>
      <c r="I726" s="4" t="s">
        <v>459</v>
      </c>
      <c r="K726" s="67" t="b">
        <v>0</v>
      </c>
      <c r="L726" s="68" t="b">
        <v>1</v>
      </c>
      <c r="S726" s="8"/>
    </row>
    <row r="727" spans="1:24" ht="12.5">
      <c r="A727" s="4" t="s">
        <v>5</v>
      </c>
      <c r="B727" s="4"/>
      <c r="C727" s="4" t="s">
        <v>1827</v>
      </c>
      <c r="D727" s="4" t="s">
        <v>1828</v>
      </c>
      <c r="E727" s="4">
        <v>17025048114</v>
      </c>
      <c r="F727" s="4" t="s">
        <v>354</v>
      </c>
      <c r="G727" s="32">
        <v>46005</v>
      </c>
      <c r="H727" s="9" t="s">
        <v>856</v>
      </c>
      <c r="I727" s="4" t="s">
        <v>459</v>
      </c>
      <c r="J727" s="68" t="b">
        <v>1</v>
      </c>
      <c r="K727" s="67" t="b">
        <v>1</v>
      </c>
      <c r="N727" s="67" t="b">
        <v>1</v>
      </c>
      <c r="S727" s="8"/>
    </row>
    <row r="728" spans="1:24" ht="12.5">
      <c r="A728" s="4" t="s">
        <v>5</v>
      </c>
      <c r="B728" s="4"/>
      <c r="C728" s="4" t="s">
        <v>1829</v>
      </c>
      <c r="D728" s="4" t="s">
        <v>1830</v>
      </c>
      <c r="E728" s="4">
        <v>526641185403</v>
      </c>
      <c r="F728" s="4" t="s">
        <v>1480</v>
      </c>
      <c r="G728" s="32">
        <v>46005</v>
      </c>
      <c r="H728" s="9" t="s">
        <v>856</v>
      </c>
      <c r="I728" s="4" t="s">
        <v>459</v>
      </c>
      <c r="J728" s="68" t="b">
        <v>1</v>
      </c>
      <c r="K728" s="67" t="b">
        <v>1</v>
      </c>
      <c r="S728" s="8"/>
    </row>
    <row r="729" spans="1:24" ht="12.5">
      <c r="A729" s="4" t="s">
        <v>381</v>
      </c>
      <c r="B729" s="4"/>
      <c r="C729" s="4" t="s">
        <v>1831</v>
      </c>
      <c r="D729" s="4" t="s">
        <v>1832</v>
      </c>
      <c r="E729" s="4">
        <v>56936425927</v>
      </c>
      <c r="F729" s="4" t="s">
        <v>1626</v>
      </c>
      <c r="G729" s="32">
        <v>46006</v>
      </c>
      <c r="H729" s="9" t="s">
        <v>856</v>
      </c>
      <c r="I729" s="4" t="s">
        <v>459</v>
      </c>
      <c r="J729" s="68" t="b">
        <v>1</v>
      </c>
      <c r="K729" s="67" t="b">
        <v>1</v>
      </c>
      <c r="N729" s="67" t="b">
        <v>1</v>
      </c>
      <c r="S729" s="8"/>
    </row>
    <row r="730" spans="1:24" ht="12.5">
      <c r="A730" s="4" t="s">
        <v>381</v>
      </c>
      <c r="B730" s="4"/>
      <c r="C730" s="4" t="s">
        <v>1833</v>
      </c>
      <c r="D730" s="4" t="s">
        <v>1834</v>
      </c>
      <c r="E730" s="4">
        <v>34644878782</v>
      </c>
      <c r="F730" s="4" t="s">
        <v>1835</v>
      </c>
      <c r="G730" s="32">
        <v>46006</v>
      </c>
      <c r="H730" s="9" t="s">
        <v>856</v>
      </c>
      <c r="I730" s="4" t="s">
        <v>459</v>
      </c>
      <c r="J730" s="68" t="b">
        <v>1</v>
      </c>
      <c r="K730" s="67" t="b">
        <v>1</v>
      </c>
      <c r="N730" s="67" t="b">
        <v>1</v>
      </c>
      <c r="S730" s="8"/>
    </row>
    <row r="731" spans="1:24" ht="12.5">
      <c r="A731" s="4" t="s">
        <v>5</v>
      </c>
      <c r="B731" s="4"/>
      <c r="C731" s="4" t="s">
        <v>1836</v>
      </c>
      <c r="D731" s="4" t="s">
        <v>1837</v>
      </c>
      <c r="E731" s="4">
        <v>542920328587</v>
      </c>
      <c r="F731" s="4" t="s">
        <v>52</v>
      </c>
      <c r="G731" s="32">
        <v>46006</v>
      </c>
      <c r="H731" s="9" t="s">
        <v>856</v>
      </c>
      <c r="I731" s="4" t="s">
        <v>459</v>
      </c>
      <c r="J731" s="68" t="b">
        <v>1</v>
      </c>
      <c r="K731" s="67" t="b">
        <v>1</v>
      </c>
      <c r="N731" s="67" t="b">
        <v>1</v>
      </c>
      <c r="S731" s="8"/>
    </row>
    <row r="732" spans="1:24" ht="12.5">
      <c r="A732" s="4" t="s">
        <v>5</v>
      </c>
      <c r="B732" s="4"/>
      <c r="C732" s="4" t="s">
        <v>1838</v>
      </c>
      <c r="D732" s="4" t="s">
        <v>1839</v>
      </c>
      <c r="E732" s="4">
        <v>34696091415</v>
      </c>
      <c r="F732" s="4" t="s">
        <v>8</v>
      </c>
      <c r="G732" s="32">
        <v>46006</v>
      </c>
      <c r="H732" s="9" t="s">
        <v>856</v>
      </c>
      <c r="I732" s="4" t="s">
        <v>459</v>
      </c>
      <c r="J732" s="68" t="b">
        <v>1</v>
      </c>
      <c r="K732" s="67" t="b">
        <v>1</v>
      </c>
      <c r="N732" s="67" t="b">
        <v>1</v>
      </c>
      <c r="S732" s="8"/>
    </row>
    <row r="733" spans="1:24" ht="12.5">
      <c r="A733" s="4" t="s">
        <v>5</v>
      </c>
      <c r="B733" s="4"/>
      <c r="C733" s="4" t="s">
        <v>1840</v>
      </c>
      <c r="D733" s="4" t="s">
        <v>1841</v>
      </c>
      <c r="E733" s="4">
        <v>56992762301</v>
      </c>
      <c r="F733" s="4" t="s">
        <v>1842</v>
      </c>
      <c r="G733" s="32">
        <v>46006</v>
      </c>
      <c r="H733" s="9" t="s">
        <v>856</v>
      </c>
      <c r="I733" s="4" t="s">
        <v>459</v>
      </c>
      <c r="J733" s="68" t="b">
        <v>1</v>
      </c>
      <c r="K733" s="67" t="b">
        <v>1</v>
      </c>
      <c r="N733" s="67" t="b">
        <v>1</v>
      </c>
      <c r="S733" s="8"/>
    </row>
    <row r="734" spans="1:24" ht="12.5">
      <c r="A734" s="4" t="s">
        <v>5</v>
      </c>
      <c r="B734" s="4"/>
      <c r="C734" s="4" t="s">
        <v>1840</v>
      </c>
      <c r="D734" s="4" t="s">
        <v>1841</v>
      </c>
      <c r="E734" s="4">
        <v>56992762301</v>
      </c>
      <c r="F734" s="4" t="s">
        <v>1843</v>
      </c>
      <c r="G734" s="32">
        <v>46006</v>
      </c>
      <c r="H734" s="9" t="s">
        <v>856</v>
      </c>
      <c r="I734" s="4" t="s">
        <v>459</v>
      </c>
      <c r="J734" s="68" t="b">
        <v>1</v>
      </c>
      <c r="K734" s="67" t="b">
        <v>1</v>
      </c>
      <c r="N734" s="67" t="b">
        <v>1</v>
      </c>
      <c r="S734" s="8"/>
    </row>
    <row r="735" spans="1:24" ht="12.5">
      <c r="A735" s="4" t="s">
        <v>5</v>
      </c>
      <c r="B735" s="4"/>
      <c r="C735" s="4" t="s">
        <v>1844</v>
      </c>
      <c r="D735" s="4" t="s">
        <v>1845</v>
      </c>
      <c r="E735" s="4">
        <v>593985311673</v>
      </c>
      <c r="F735" s="4" t="s">
        <v>37</v>
      </c>
      <c r="G735" s="32">
        <v>46006</v>
      </c>
      <c r="H735" s="9" t="s">
        <v>856</v>
      </c>
      <c r="I735" s="4" t="s">
        <v>459</v>
      </c>
      <c r="J735" s="68" t="b">
        <v>1</v>
      </c>
      <c r="K735" s="67" t="b">
        <v>1</v>
      </c>
      <c r="N735" s="67" t="b">
        <v>1</v>
      </c>
      <c r="S735" s="8"/>
    </row>
    <row r="736" spans="1:24" ht="12.5">
      <c r="A736" s="4" t="s">
        <v>5</v>
      </c>
      <c r="B736" s="4"/>
      <c r="C736" s="4" t="s">
        <v>1846</v>
      </c>
      <c r="D736" s="4" t="s">
        <v>245</v>
      </c>
      <c r="E736" s="4">
        <v>34687321813</v>
      </c>
      <c r="F736" s="4" t="s">
        <v>52</v>
      </c>
      <c r="G736" s="32">
        <v>46006</v>
      </c>
      <c r="H736" s="9" t="s">
        <v>856</v>
      </c>
      <c r="I736" s="4" t="s">
        <v>448</v>
      </c>
      <c r="K736" s="67" t="b">
        <v>1</v>
      </c>
      <c r="S736" s="4" t="s">
        <v>119</v>
      </c>
      <c r="T736" s="18">
        <v>46006</v>
      </c>
      <c r="U736" s="6">
        <v>140</v>
      </c>
      <c r="V736" s="4">
        <v>0</v>
      </c>
      <c r="W736" s="4">
        <v>1</v>
      </c>
      <c r="X736" s="4" t="s">
        <v>1847</v>
      </c>
    </row>
    <row r="737" spans="1:24" ht="12.5">
      <c r="A737" s="4" t="s">
        <v>5</v>
      </c>
      <c r="B737" s="4"/>
      <c r="C737" s="4" t="s">
        <v>1848</v>
      </c>
      <c r="D737" s="4" t="s">
        <v>1849</v>
      </c>
      <c r="E737" s="4">
        <v>13058038133</v>
      </c>
      <c r="F737" s="4" t="s">
        <v>1850</v>
      </c>
      <c r="G737" s="32">
        <v>46006</v>
      </c>
      <c r="H737" s="9" t="s">
        <v>856</v>
      </c>
      <c r="I737" s="4" t="s">
        <v>459</v>
      </c>
      <c r="K737" s="67" t="b">
        <v>1</v>
      </c>
      <c r="S737" s="8"/>
    </row>
    <row r="738" spans="1:24" ht="12.5">
      <c r="A738" s="4" t="s">
        <v>5</v>
      </c>
      <c r="B738" s="4"/>
      <c r="C738" s="4" t="s">
        <v>1851</v>
      </c>
      <c r="D738" s="4" t="s">
        <v>1852</v>
      </c>
      <c r="E738" s="4">
        <v>56933768386</v>
      </c>
      <c r="F738" s="4" t="s">
        <v>70</v>
      </c>
      <c r="G738" s="32">
        <v>46006</v>
      </c>
      <c r="H738" s="9" t="s">
        <v>856</v>
      </c>
      <c r="I738" s="4" t="s">
        <v>459</v>
      </c>
      <c r="K738" s="67" t="b">
        <v>1</v>
      </c>
      <c r="Q738" s="67" t="b">
        <v>1</v>
      </c>
      <c r="S738" s="8"/>
    </row>
    <row r="739" spans="1:24" ht="12.5">
      <c r="A739" s="4" t="s">
        <v>5</v>
      </c>
      <c r="B739" s="4"/>
      <c r="C739" s="4" t="s">
        <v>1853</v>
      </c>
      <c r="D739" s="4" t="s">
        <v>1854</v>
      </c>
      <c r="E739" s="4">
        <v>5492473468705</v>
      </c>
      <c r="F739" s="4" t="s">
        <v>8</v>
      </c>
      <c r="G739" s="32">
        <v>46007</v>
      </c>
      <c r="H739" s="9" t="s">
        <v>856</v>
      </c>
      <c r="I739" s="4" t="s">
        <v>459</v>
      </c>
      <c r="K739" s="67" t="b">
        <v>1</v>
      </c>
      <c r="Q739" s="67" t="b">
        <v>1</v>
      </c>
      <c r="S739" s="8"/>
    </row>
    <row r="740" spans="1:24" ht="12.5">
      <c r="A740" s="4" t="s">
        <v>5</v>
      </c>
      <c r="B740" s="4"/>
      <c r="C740" s="4" t="s">
        <v>1855</v>
      </c>
      <c r="D740" s="4" t="s">
        <v>1856</v>
      </c>
      <c r="E740" s="4">
        <v>34695995982</v>
      </c>
      <c r="F740" s="4" t="s">
        <v>97</v>
      </c>
      <c r="G740" s="32">
        <v>46007</v>
      </c>
      <c r="H740" s="9" t="s">
        <v>856</v>
      </c>
      <c r="I740" s="4" t="s">
        <v>941</v>
      </c>
      <c r="J740" s="68" t="b">
        <v>1</v>
      </c>
      <c r="K740" s="67" t="b">
        <v>1</v>
      </c>
      <c r="N740" s="67" t="b">
        <v>1</v>
      </c>
      <c r="Q740" s="67" t="b">
        <v>1</v>
      </c>
      <c r="S740" s="8"/>
    </row>
    <row r="741" spans="1:24" ht="12.5">
      <c r="B741" s="4"/>
      <c r="C741" s="4" t="s">
        <v>1853</v>
      </c>
      <c r="F741" s="4" t="s">
        <v>8</v>
      </c>
      <c r="G741" s="32">
        <v>46007</v>
      </c>
      <c r="H741" s="9" t="s">
        <v>956</v>
      </c>
      <c r="I741" s="4" t="s">
        <v>459</v>
      </c>
      <c r="J741" s="4"/>
      <c r="K741" s="67" t="b">
        <v>1</v>
      </c>
      <c r="L741" s="4"/>
      <c r="M741" s="4"/>
      <c r="N741" s="4"/>
      <c r="O741" s="4"/>
      <c r="P741" s="4"/>
      <c r="Q741" s="4"/>
      <c r="R741" s="4"/>
      <c r="S741" s="8"/>
    </row>
    <row r="742" spans="1:24" ht="12.5">
      <c r="A742" s="4" t="s">
        <v>5</v>
      </c>
      <c r="B742" s="4"/>
      <c r="C742" s="4" t="s">
        <v>1857</v>
      </c>
      <c r="D742" s="4" t="s">
        <v>1858</v>
      </c>
      <c r="E742" s="4">
        <v>15206395729</v>
      </c>
      <c r="F742" s="4" t="s">
        <v>1859</v>
      </c>
      <c r="G742" s="32">
        <v>46007</v>
      </c>
      <c r="H742" s="4" t="s">
        <v>856</v>
      </c>
      <c r="I742" s="4" t="s">
        <v>459</v>
      </c>
      <c r="K742" s="67" t="b">
        <v>1</v>
      </c>
      <c r="S742" s="8"/>
    </row>
    <row r="743" spans="1:24" ht="12.5">
      <c r="A743" s="4" t="s">
        <v>5</v>
      </c>
      <c r="B743" s="4"/>
      <c r="C743" s="4" t="s">
        <v>1860</v>
      </c>
      <c r="D743" s="4" t="s">
        <v>1861</v>
      </c>
      <c r="E743" s="4">
        <v>18297630674</v>
      </c>
      <c r="F743" s="4" t="s">
        <v>40</v>
      </c>
      <c r="G743" s="32">
        <v>46008</v>
      </c>
      <c r="H743" s="4" t="s">
        <v>856</v>
      </c>
      <c r="I743" s="4" t="s">
        <v>459</v>
      </c>
      <c r="K743" s="67" t="b">
        <v>1</v>
      </c>
      <c r="S743" s="8"/>
    </row>
    <row r="744" spans="1:24" ht="12.5">
      <c r="A744" s="4" t="s">
        <v>5</v>
      </c>
      <c r="B744" s="4"/>
      <c r="C744" s="4" t="s">
        <v>1862</v>
      </c>
      <c r="D744" s="4" t="s">
        <v>261</v>
      </c>
      <c r="E744" s="4">
        <v>522216544266</v>
      </c>
      <c r="F744" s="4" t="s">
        <v>1273</v>
      </c>
      <c r="G744" s="32">
        <v>46008</v>
      </c>
      <c r="H744" s="4" t="s">
        <v>856</v>
      </c>
      <c r="I744" s="4" t="s">
        <v>459</v>
      </c>
      <c r="K744" s="67" t="b">
        <v>1</v>
      </c>
      <c r="L744" s="68" t="b">
        <v>1</v>
      </c>
      <c r="S744" s="8"/>
    </row>
    <row r="745" spans="1:24" ht="12.5">
      <c r="A745" s="4" t="s">
        <v>5</v>
      </c>
      <c r="B745" s="4"/>
      <c r="C745" s="4" t="s">
        <v>1862</v>
      </c>
      <c r="D745" s="4" t="s">
        <v>261</v>
      </c>
      <c r="E745" s="4">
        <v>522216544266</v>
      </c>
      <c r="F745" s="4" t="s">
        <v>1273</v>
      </c>
      <c r="G745" s="32">
        <v>46008</v>
      </c>
      <c r="H745" s="4" t="s">
        <v>856</v>
      </c>
      <c r="I745" s="4" t="s">
        <v>459</v>
      </c>
      <c r="K745" s="67" t="b">
        <v>1</v>
      </c>
      <c r="L745" s="68" t="b">
        <v>1</v>
      </c>
      <c r="S745" s="8"/>
    </row>
    <row r="746" spans="1:24" ht="12.5">
      <c r="A746" s="4" t="s">
        <v>5</v>
      </c>
      <c r="B746" s="4"/>
      <c r="C746" s="4" t="s">
        <v>1863</v>
      </c>
      <c r="E746" s="4" t="s">
        <v>1864</v>
      </c>
      <c r="F746" s="4" t="s">
        <v>1865</v>
      </c>
      <c r="G746" s="32">
        <v>46008</v>
      </c>
      <c r="H746" s="9" t="s">
        <v>956</v>
      </c>
      <c r="I746" s="4" t="s">
        <v>1097</v>
      </c>
      <c r="J746" s="68" t="b">
        <v>1</v>
      </c>
      <c r="K746" s="67" t="b">
        <v>1</v>
      </c>
      <c r="L746" s="4"/>
      <c r="M746" s="4"/>
      <c r="N746" s="4"/>
      <c r="O746" s="4"/>
      <c r="P746" s="4"/>
      <c r="Q746" s="4"/>
      <c r="R746" s="4"/>
      <c r="S746" s="8"/>
    </row>
    <row r="747" spans="1:24" ht="12.5">
      <c r="A747" s="4" t="s">
        <v>5</v>
      </c>
      <c r="B747" s="4"/>
      <c r="C747" s="4" t="s">
        <v>1866</v>
      </c>
      <c r="E747" s="4" t="s">
        <v>1867</v>
      </c>
      <c r="F747" s="4" t="s">
        <v>27</v>
      </c>
      <c r="G747" s="32">
        <v>46008</v>
      </c>
      <c r="H747" s="9" t="s">
        <v>956</v>
      </c>
      <c r="I747" s="4" t="s">
        <v>459</v>
      </c>
      <c r="J747" s="68" t="b">
        <v>1</v>
      </c>
      <c r="K747" s="67" t="b">
        <v>1</v>
      </c>
      <c r="L747" s="4"/>
      <c r="M747" s="4"/>
      <c r="N747" s="4"/>
      <c r="O747" s="4"/>
      <c r="P747" s="4"/>
      <c r="Q747" s="4"/>
      <c r="R747" s="4"/>
      <c r="S747" s="8"/>
    </row>
    <row r="748" spans="1:24" ht="12.5">
      <c r="A748" s="4" t="s">
        <v>5</v>
      </c>
      <c r="B748" s="4"/>
      <c r="C748" s="4" t="s">
        <v>1868</v>
      </c>
      <c r="D748" s="4" t="s">
        <v>1869</v>
      </c>
      <c r="E748" s="4">
        <v>524427171976</v>
      </c>
      <c r="F748" s="4" t="s">
        <v>1582</v>
      </c>
      <c r="G748" s="32">
        <v>46008</v>
      </c>
      <c r="H748" s="9" t="s">
        <v>856</v>
      </c>
      <c r="I748" s="4" t="s">
        <v>459</v>
      </c>
      <c r="J748" s="68" t="b">
        <v>0</v>
      </c>
      <c r="K748" s="67" t="b">
        <v>1</v>
      </c>
      <c r="N748" s="67" t="b">
        <v>1</v>
      </c>
      <c r="S748" s="8"/>
    </row>
    <row r="749" spans="1:24" ht="12.5">
      <c r="A749" s="4" t="s">
        <v>5</v>
      </c>
      <c r="B749" s="4"/>
      <c r="C749" s="4" t="s">
        <v>1870</v>
      </c>
      <c r="D749" s="4" t="s">
        <v>1871</v>
      </c>
      <c r="E749" s="4">
        <v>525555032033</v>
      </c>
      <c r="F749" s="4" t="s">
        <v>140</v>
      </c>
      <c r="G749" s="32">
        <v>46008</v>
      </c>
      <c r="H749" s="9" t="s">
        <v>856</v>
      </c>
      <c r="I749" s="4" t="s">
        <v>459</v>
      </c>
      <c r="J749" s="68" t="b">
        <v>0</v>
      </c>
      <c r="K749" s="67" t="b">
        <v>1</v>
      </c>
      <c r="S749" s="8"/>
    </row>
    <row r="750" spans="1:24" ht="12.5">
      <c r="A750" s="4" t="s">
        <v>5</v>
      </c>
      <c r="B750" s="4"/>
      <c r="C750" s="4" t="s">
        <v>1872</v>
      </c>
      <c r="D750" s="4" t="s">
        <v>1873</v>
      </c>
      <c r="E750" s="4">
        <v>34651551427</v>
      </c>
      <c r="F750" s="4" t="s">
        <v>8</v>
      </c>
      <c r="G750" s="32">
        <v>46008</v>
      </c>
      <c r="H750" s="9" t="s">
        <v>856</v>
      </c>
      <c r="I750" s="4" t="s">
        <v>459</v>
      </c>
      <c r="J750" s="68" t="b">
        <v>0</v>
      </c>
      <c r="K750" s="67" t="b">
        <v>1</v>
      </c>
      <c r="S750" s="8"/>
    </row>
    <row r="751" spans="1:24" ht="12.5">
      <c r="A751" s="4" t="s">
        <v>5</v>
      </c>
      <c r="B751" s="4"/>
      <c r="C751" s="4" t="s">
        <v>1874</v>
      </c>
      <c r="D751" s="4" t="s">
        <v>405</v>
      </c>
      <c r="E751" s="4">
        <v>34660144954</v>
      </c>
      <c r="F751" s="4" t="s">
        <v>8</v>
      </c>
      <c r="G751" s="32">
        <v>46009</v>
      </c>
      <c r="H751" s="9" t="s">
        <v>856</v>
      </c>
      <c r="I751" s="4" t="s">
        <v>459</v>
      </c>
      <c r="J751" s="68" t="b">
        <v>0</v>
      </c>
      <c r="K751" s="67" t="b">
        <v>1</v>
      </c>
      <c r="N751" s="67" t="b">
        <v>1</v>
      </c>
      <c r="S751" s="4"/>
      <c r="T751" s="16"/>
      <c r="U751" s="6"/>
      <c r="X751" s="8"/>
    </row>
    <row r="752" spans="1:24" ht="12.5">
      <c r="A752" s="4" t="s">
        <v>5</v>
      </c>
      <c r="B752" s="4"/>
      <c r="C752" s="4" t="s">
        <v>1225</v>
      </c>
      <c r="D752" s="4" t="s">
        <v>1226</v>
      </c>
      <c r="E752" s="4">
        <v>34626820802</v>
      </c>
      <c r="F752" s="4" t="s">
        <v>233</v>
      </c>
      <c r="G752" s="32">
        <v>46009</v>
      </c>
      <c r="H752" s="9" t="s">
        <v>856</v>
      </c>
      <c r="I752" s="4" t="s">
        <v>459</v>
      </c>
      <c r="J752" s="68" t="b">
        <v>0</v>
      </c>
      <c r="K752" s="67" t="b">
        <v>1</v>
      </c>
      <c r="S752" s="8"/>
    </row>
    <row r="753" spans="1:24" ht="12.5">
      <c r="A753" s="4" t="s">
        <v>5</v>
      </c>
      <c r="B753" s="4"/>
      <c r="C753" s="4" t="s">
        <v>1875</v>
      </c>
      <c r="D753" s="4" t="s">
        <v>1876</v>
      </c>
      <c r="E753" s="4">
        <v>540294215523260</v>
      </c>
      <c r="F753" s="4" t="s">
        <v>8</v>
      </c>
      <c r="G753" s="32">
        <v>46009</v>
      </c>
      <c r="H753" s="9" t="s">
        <v>856</v>
      </c>
      <c r="I753" s="4" t="s">
        <v>459</v>
      </c>
      <c r="J753" s="68" t="b">
        <v>0</v>
      </c>
      <c r="K753" s="67" t="b">
        <v>1</v>
      </c>
      <c r="S753" s="8"/>
    </row>
    <row r="754" spans="1:24" ht="12.5">
      <c r="A754" s="4" t="s">
        <v>5</v>
      </c>
      <c r="B754" s="4"/>
      <c r="C754" s="4" t="s">
        <v>1877</v>
      </c>
      <c r="D754" s="4" t="s">
        <v>1878</v>
      </c>
      <c r="E754" s="4">
        <v>34649079554</v>
      </c>
      <c r="F754" s="4" t="s">
        <v>387</v>
      </c>
      <c r="G754" s="32">
        <v>46010</v>
      </c>
      <c r="H754" s="9" t="s">
        <v>856</v>
      </c>
      <c r="I754" s="4" t="s">
        <v>459</v>
      </c>
      <c r="J754" s="68" t="b">
        <v>0</v>
      </c>
      <c r="K754" s="67" t="b">
        <v>1</v>
      </c>
      <c r="N754" s="67" t="b">
        <v>1</v>
      </c>
      <c r="S754" s="8"/>
    </row>
    <row r="755" spans="1:24" ht="12.5">
      <c r="A755" s="4" t="s">
        <v>5</v>
      </c>
      <c r="B755" s="4"/>
      <c r="C755" s="4" t="s">
        <v>1879</v>
      </c>
      <c r="D755" s="4" t="s">
        <v>1880</v>
      </c>
      <c r="E755" s="4">
        <v>51958074710</v>
      </c>
      <c r="F755" s="4" t="s">
        <v>270</v>
      </c>
      <c r="G755" s="32">
        <v>46010</v>
      </c>
      <c r="H755" s="9" t="s">
        <v>856</v>
      </c>
      <c r="I755" s="4" t="s">
        <v>459</v>
      </c>
      <c r="J755" s="68" t="b">
        <v>0</v>
      </c>
      <c r="K755" s="67" t="b">
        <v>1</v>
      </c>
      <c r="N755" s="67" t="b">
        <v>1</v>
      </c>
      <c r="S755" s="8"/>
    </row>
    <row r="756" spans="1:24" ht="12.5">
      <c r="A756" s="4" t="s">
        <v>5</v>
      </c>
      <c r="B756" s="4"/>
      <c r="C756" s="4" t="s">
        <v>1881</v>
      </c>
      <c r="D756" s="4" t="s">
        <v>1882</v>
      </c>
      <c r="E756" s="4">
        <v>34698727682</v>
      </c>
      <c r="F756" s="4" t="s">
        <v>1842</v>
      </c>
      <c r="G756" s="32">
        <v>46012</v>
      </c>
      <c r="H756" s="9" t="s">
        <v>856</v>
      </c>
      <c r="I756" s="4" t="s">
        <v>459</v>
      </c>
      <c r="J756" s="68" t="b">
        <v>0</v>
      </c>
      <c r="K756" s="67" t="b">
        <v>1</v>
      </c>
      <c r="N756" s="67" t="b">
        <v>1</v>
      </c>
      <c r="S756" s="8"/>
    </row>
    <row r="757" spans="1:24" ht="12.5">
      <c r="A757" s="4" t="s">
        <v>5</v>
      </c>
      <c r="B757" s="4"/>
      <c r="C757" s="4" t="s">
        <v>1883</v>
      </c>
      <c r="D757" s="4" t="s">
        <v>1884</v>
      </c>
      <c r="E757" s="4">
        <v>593958772301</v>
      </c>
      <c r="F757" s="4" t="s">
        <v>740</v>
      </c>
      <c r="G757" s="32">
        <v>46012</v>
      </c>
      <c r="H757" s="9" t="s">
        <v>856</v>
      </c>
      <c r="I757" s="4" t="s">
        <v>459</v>
      </c>
      <c r="J757" s="68" t="b">
        <v>0</v>
      </c>
      <c r="K757" s="67" t="b">
        <v>1</v>
      </c>
      <c r="S757" s="8"/>
    </row>
    <row r="758" spans="1:24" ht="12.5">
      <c r="A758" s="4" t="s">
        <v>5</v>
      </c>
      <c r="B758" s="4"/>
      <c r="C758" s="4" t="s">
        <v>1885</v>
      </c>
      <c r="D758" s="4" t="s">
        <v>1886</v>
      </c>
      <c r="E758" s="4">
        <v>52477834343</v>
      </c>
      <c r="F758" s="4" t="s">
        <v>1282</v>
      </c>
      <c r="G758" s="32">
        <v>46012</v>
      </c>
      <c r="H758" s="9" t="s">
        <v>856</v>
      </c>
      <c r="I758" s="4" t="s">
        <v>459</v>
      </c>
      <c r="J758" s="68" t="b">
        <v>0</v>
      </c>
      <c r="K758" s="67" t="b">
        <v>0</v>
      </c>
      <c r="S758" s="8"/>
    </row>
    <row r="759" spans="1:24" ht="12.5">
      <c r="A759" s="4" t="s">
        <v>5</v>
      </c>
      <c r="B759" s="4"/>
      <c r="C759" s="4" t="s">
        <v>1887</v>
      </c>
      <c r="D759" s="4" t="s">
        <v>1888</v>
      </c>
      <c r="E759" s="4">
        <v>525527550387</v>
      </c>
      <c r="F759" s="4" t="s">
        <v>27</v>
      </c>
      <c r="G759" s="32">
        <v>46013</v>
      </c>
      <c r="H759" s="9" t="s">
        <v>856</v>
      </c>
      <c r="I759" s="4" t="s">
        <v>459</v>
      </c>
      <c r="J759" s="68" t="b">
        <v>0</v>
      </c>
      <c r="K759" s="67" t="b">
        <v>1</v>
      </c>
      <c r="N759" s="67" t="b">
        <v>1</v>
      </c>
      <c r="S759" s="8"/>
    </row>
    <row r="760" spans="1:24" ht="12.5">
      <c r="A760" s="4" t="s">
        <v>5</v>
      </c>
      <c r="B760" s="4"/>
      <c r="C760" s="4" t="s">
        <v>1889</v>
      </c>
      <c r="D760" s="4" t="s">
        <v>1890</v>
      </c>
      <c r="E760" s="4">
        <v>524612668922</v>
      </c>
      <c r="F760" s="4" t="s">
        <v>343</v>
      </c>
      <c r="G760" s="32">
        <v>46014</v>
      </c>
      <c r="H760" s="9" t="s">
        <v>856</v>
      </c>
      <c r="I760" s="4" t="s">
        <v>459</v>
      </c>
      <c r="J760" s="68" t="b">
        <v>0</v>
      </c>
      <c r="K760" s="67" t="b">
        <v>1</v>
      </c>
      <c r="N760" s="67" t="b">
        <v>1</v>
      </c>
      <c r="S760" s="8"/>
    </row>
    <row r="761" spans="1:24" ht="12.5">
      <c r="D761" s="42" t="s">
        <v>1891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8"/>
    </row>
    <row r="762" spans="1:24" ht="12.5">
      <c r="A762" s="4" t="s">
        <v>5</v>
      </c>
      <c r="B762" s="4"/>
      <c r="C762" s="4" t="s">
        <v>249</v>
      </c>
      <c r="D762" s="4" t="s">
        <v>333</v>
      </c>
      <c r="E762" s="4">
        <v>18329984986</v>
      </c>
      <c r="F762" s="4" t="s">
        <v>354</v>
      </c>
      <c r="G762" s="32">
        <v>46014</v>
      </c>
      <c r="H762" s="4" t="s">
        <v>856</v>
      </c>
      <c r="I762" s="4" t="s">
        <v>448</v>
      </c>
      <c r="K762" s="67" t="b">
        <v>1</v>
      </c>
      <c r="S762" s="4" t="s">
        <v>119</v>
      </c>
      <c r="T762" s="18">
        <v>46020</v>
      </c>
      <c r="U762" s="6">
        <v>300</v>
      </c>
      <c r="V762" s="4">
        <v>0</v>
      </c>
      <c r="W762" s="4">
        <v>1</v>
      </c>
      <c r="X762" s="8">
        <v>45658</v>
      </c>
    </row>
    <row r="763" spans="1:24" ht="12.5">
      <c r="A763" s="4" t="s">
        <v>5</v>
      </c>
      <c r="B763" s="4"/>
      <c r="C763" s="4" t="s">
        <v>1892</v>
      </c>
      <c r="D763" s="4" t="s">
        <v>254</v>
      </c>
      <c r="E763" s="4">
        <v>41772617270</v>
      </c>
      <c r="F763" s="4" t="s">
        <v>256</v>
      </c>
      <c r="G763" s="32">
        <v>46015</v>
      </c>
      <c r="H763" s="4" t="s">
        <v>856</v>
      </c>
      <c r="I763" s="4" t="s">
        <v>448</v>
      </c>
      <c r="K763" s="67" t="b">
        <v>1</v>
      </c>
      <c r="S763" s="4" t="s">
        <v>119</v>
      </c>
      <c r="T763" s="18">
        <v>46020</v>
      </c>
      <c r="U763" s="2">
        <v>75</v>
      </c>
      <c r="V763" s="7">
        <v>0.5</v>
      </c>
      <c r="W763" s="4">
        <v>1</v>
      </c>
      <c r="X763" s="8">
        <v>45658</v>
      </c>
    </row>
    <row r="764" spans="1:24" ht="12.5">
      <c r="A764" s="4" t="s">
        <v>5</v>
      </c>
      <c r="B764" s="4"/>
      <c r="C764" s="4" t="s">
        <v>1893</v>
      </c>
      <c r="D764" s="4" t="s">
        <v>1894</v>
      </c>
      <c r="E764" s="4">
        <v>527352121690</v>
      </c>
      <c r="F764" s="4" t="s">
        <v>1265</v>
      </c>
      <c r="G764" s="32">
        <v>46018</v>
      </c>
      <c r="H764" s="4" t="s">
        <v>856</v>
      </c>
      <c r="I764" s="4" t="s">
        <v>459</v>
      </c>
      <c r="K764" s="67" t="b">
        <v>1</v>
      </c>
      <c r="N764" s="67" t="b">
        <v>1</v>
      </c>
      <c r="S764" s="8"/>
    </row>
    <row r="765" spans="1:24" ht="12.5">
      <c r="A765" s="4" t="s">
        <v>5</v>
      </c>
      <c r="B765" s="4"/>
      <c r="C765" s="4" t="s">
        <v>1895</v>
      </c>
      <c r="D765" s="4" t="s">
        <v>1896</v>
      </c>
      <c r="E765" s="4">
        <v>34641318587</v>
      </c>
      <c r="F765" s="4" t="s">
        <v>66</v>
      </c>
      <c r="G765" s="32">
        <v>46018</v>
      </c>
      <c r="H765" s="4" t="s">
        <v>856</v>
      </c>
      <c r="I765" s="4" t="s">
        <v>459</v>
      </c>
      <c r="K765" s="67" t="b">
        <v>1</v>
      </c>
      <c r="S765" s="8"/>
    </row>
    <row r="766" spans="1:24" ht="12.5">
      <c r="A766" s="4" t="s">
        <v>5</v>
      </c>
      <c r="B766" s="4"/>
      <c r="C766" s="4" t="s">
        <v>1897</v>
      </c>
      <c r="D766" s="4" t="s">
        <v>1898</v>
      </c>
      <c r="E766" s="4">
        <v>34646539519</v>
      </c>
      <c r="F766" s="4" t="s">
        <v>52</v>
      </c>
      <c r="G766" s="32">
        <v>46018</v>
      </c>
      <c r="H766" s="4" t="s">
        <v>856</v>
      </c>
      <c r="I766" s="4" t="s">
        <v>459</v>
      </c>
      <c r="K766" s="67" t="b">
        <v>1</v>
      </c>
      <c r="N766" s="67" t="b">
        <v>1</v>
      </c>
      <c r="S766" s="8"/>
    </row>
    <row r="767" spans="1:24" ht="12.5">
      <c r="A767" s="4" t="s">
        <v>5</v>
      </c>
      <c r="B767" s="4"/>
      <c r="C767" s="4" t="s">
        <v>1899</v>
      </c>
      <c r="D767" s="4" t="s">
        <v>1900</v>
      </c>
      <c r="E767" s="4">
        <v>593939580051</v>
      </c>
      <c r="F767" s="4" t="s">
        <v>27</v>
      </c>
      <c r="G767" s="32">
        <v>46019</v>
      </c>
      <c r="H767" s="4" t="s">
        <v>856</v>
      </c>
      <c r="I767" s="4" t="s">
        <v>459</v>
      </c>
      <c r="K767" s="67" t="b">
        <v>1</v>
      </c>
      <c r="S767" s="8"/>
    </row>
    <row r="768" spans="1:24" ht="12.5">
      <c r="A768" s="4" t="s">
        <v>5</v>
      </c>
      <c r="B768" s="4"/>
      <c r="C768" s="4" t="s">
        <v>1901</v>
      </c>
      <c r="D768" s="4" t="s">
        <v>1888</v>
      </c>
      <c r="E768" s="4">
        <v>525527550387</v>
      </c>
      <c r="F768" s="4" t="s">
        <v>27</v>
      </c>
      <c r="G768" s="32">
        <v>46020</v>
      </c>
      <c r="H768" s="4" t="s">
        <v>856</v>
      </c>
      <c r="I768" s="4" t="s">
        <v>459</v>
      </c>
      <c r="K768" s="67" t="b">
        <v>1</v>
      </c>
      <c r="N768" s="67" t="b">
        <v>1</v>
      </c>
      <c r="S768" s="8"/>
    </row>
    <row r="769" spans="1:25" ht="12.5">
      <c r="A769" s="4" t="s">
        <v>5</v>
      </c>
      <c r="B769" s="4"/>
      <c r="C769" s="4" t="s">
        <v>1902</v>
      </c>
      <c r="D769" s="4" t="s">
        <v>1903</v>
      </c>
      <c r="E769" s="4">
        <v>543735603893</v>
      </c>
      <c r="F769" s="4" t="s">
        <v>8</v>
      </c>
      <c r="G769" s="32">
        <v>46020</v>
      </c>
      <c r="H769" s="4" t="s">
        <v>856</v>
      </c>
      <c r="I769" s="4" t="s">
        <v>459</v>
      </c>
      <c r="K769" s="67" t="b">
        <v>1</v>
      </c>
      <c r="N769" s="67" t="b">
        <v>1</v>
      </c>
      <c r="S769" s="8"/>
    </row>
    <row r="770" spans="1:25" ht="12.5">
      <c r="A770" s="4" t="s">
        <v>5</v>
      </c>
      <c r="B770" s="4" t="s">
        <v>119</v>
      </c>
      <c r="C770" s="4" t="s">
        <v>1904</v>
      </c>
      <c r="D770" s="4" t="s">
        <v>1905</v>
      </c>
      <c r="E770" s="4">
        <v>529993667244</v>
      </c>
      <c r="F770" s="4" t="s">
        <v>27</v>
      </c>
      <c r="G770" s="32">
        <v>46020</v>
      </c>
      <c r="H770" s="4" t="s">
        <v>856</v>
      </c>
      <c r="I770" s="4" t="s">
        <v>448</v>
      </c>
      <c r="K770" s="67" t="b">
        <v>1</v>
      </c>
      <c r="N770" s="67" t="b">
        <v>1</v>
      </c>
      <c r="Q770" s="67" t="b">
        <v>1</v>
      </c>
      <c r="S770" s="4" t="s">
        <v>119</v>
      </c>
      <c r="T770" s="33">
        <v>46034</v>
      </c>
      <c r="U770" s="6">
        <v>175</v>
      </c>
      <c r="V770" s="7">
        <v>0.5</v>
      </c>
      <c r="W770" s="4">
        <v>1</v>
      </c>
      <c r="X770" s="8">
        <v>46023</v>
      </c>
    </row>
    <row r="771" spans="1:25" ht="12.5">
      <c r="A771" s="4" t="s">
        <v>5</v>
      </c>
      <c r="B771" s="4" t="s">
        <v>398</v>
      </c>
      <c r="C771" s="4" t="s">
        <v>1906</v>
      </c>
      <c r="D771" s="4" t="s">
        <v>1907</v>
      </c>
      <c r="E771" s="4">
        <v>4901771750599</v>
      </c>
      <c r="F771" s="4" t="s">
        <v>319</v>
      </c>
      <c r="G771" s="32">
        <v>46020</v>
      </c>
      <c r="H771" s="4" t="s">
        <v>856</v>
      </c>
      <c r="I771" s="4" t="s">
        <v>459</v>
      </c>
      <c r="K771" s="67" t="b">
        <v>1</v>
      </c>
      <c r="N771" s="67" t="b">
        <v>1</v>
      </c>
      <c r="S771" s="8"/>
    </row>
    <row r="772" spans="1:25" ht="14">
      <c r="A772" s="4" t="s">
        <v>5</v>
      </c>
      <c r="B772" s="4" t="s">
        <v>119</v>
      </c>
      <c r="C772" s="21" t="s">
        <v>249</v>
      </c>
      <c r="D772" s="21" t="s">
        <v>333</v>
      </c>
      <c r="F772" s="4" t="s">
        <v>250</v>
      </c>
      <c r="G772" s="4" t="s">
        <v>248</v>
      </c>
      <c r="H772" s="9" t="s">
        <v>956</v>
      </c>
      <c r="I772" s="4" t="s">
        <v>448</v>
      </c>
      <c r="K772" s="67" t="b">
        <v>1</v>
      </c>
      <c r="N772" s="67" t="b">
        <v>1</v>
      </c>
      <c r="S772" s="4" t="s">
        <v>119</v>
      </c>
      <c r="T772" s="18">
        <v>46020</v>
      </c>
      <c r="U772" s="6">
        <v>300</v>
      </c>
      <c r="V772" s="7">
        <v>0.3</v>
      </c>
      <c r="W772" s="4">
        <v>1</v>
      </c>
      <c r="X772" s="8">
        <v>45809</v>
      </c>
      <c r="Y772" s="8"/>
    </row>
    <row r="773" spans="1:25" ht="14">
      <c r="A773" s="4" t="s">
        <v>5</v>
      </c>
      <c r="B773" s="4" t="s">
        <v>398</v>
      </c>
      <c r="C773" s="21" t="s">
        <v>251</v>
      </c>
      <c r="D773" s="21" t="s">
        <v>252</v>
      </c>
      <c r="F773" s="34" t="s">
        <v>8</v>
      </c>
      <c r="G773" s="4" t="s">
        <v>248</v>
      </c>
      <c r="H773" s="9" t="s">
        <v>956</v>
      </c>
      <c r="I773" s="4" t="s">
        <v>448</v>
      </c>
      <c r="J773" s="4"/>
      <c r="K773" s="67" t="b">
        <v>1</v>
      </c>
      <c r="L773" s="4"/>
      <c r="M773" s="4"/>
      <c r="N773" s="4"/>
      <c r="O773" s="4"/>
      <c r="P773" s="4"/>
      <c r="Q773" s="4"/>
      <c r="R773" s="4"/>
      <c r="S773" s="4" t="s">
        <v>119</v>
      </c>
      <c r="T773" s="18">
        <v>46020</v>
      </c>
      <c r="U773" s="15">
        <v>150</v>
      </c>
      <c r="V773" s="7">
        <v>0.5</v>
      </c>
      <c r="W773" s="4">
        <v>1</v>
      </c>
      <c r="X773" s="8">
        <v>45658</v>
      </c>
      <c r="Y773" s="8"/>
    </row>
    <row r="774" spans="1:25" ht="14">
      <c r="A774" s="4" t="s">
        <v>5</v>
      </c>
      <c r="B774" s="4" t="s">
        <v>119</v>
      </c>
      <c r="C774" s="21" t="s">
        <v>253</v>
      </c>
      <c r="D774" s="21" t="s">
        <v>254</v>
      </c>
      <c r="E774" s="4" t="s">
        <v>255</v>
      </c>
      <c r="F774" s="4" t="s">
        <v>256</v>
      </c>
      <c r="G774" s="4" t="s">
        <v>248</v>
      </c>
      <c r="H774" s="9" t="s">
        <v>956</v>
      </c>
      <c r="I774" s="4" t="s">
        <v>448</v>
      </c>
      <c r="J774" s="4"/>
      <c r="K774" s="67" t="b">
        <v>1</v>
      </c>
      <c r="L774" s="4"/>
      <c r="M774" s="4"/>
      <c r="N774" s="4"/>
      <c r="O774" s="4"/>
      <c r="P774" s="4"/>
      <c r="Q774" s="4"/>
      <c r="R774" s="4"/>
      <c r="S774" s="4" t="s">
        <v>119</v>
      </c>
      <c r="T774" s="18">
        <v>46020</v>
      </c>
      <c r="U774" s="6">
        <v>75</v>
      </c>
      <c r="V774" s="7">
        <v>0.5</v>
      </c>
      <c r="W774" s="4">
        <v>1</v>
      </c>
      <c r="X774" s="8">
        <v>45658</v>
      </c>
      <c r="Y774" s="8"/>
    </row>
    <row r="775" spans="1:25" ht="12.5">
      <c r="A775" s="4" t="s">
        <v>5</v>
      </c>
      <c r="B775" s="4" t="s">
        <v>398</v>
      </c>
      <c r="C775" s="4" t="s">
        <v>1908</v>
      </c>
      <c r="D775" s="4" t="s">
        <v>281</v>
      </c>
      <c r="E775" s="4">
        <v>34675346004</v>
      </c>
      <c r="F775" s="4" t="s">
        <v>8</v>
      </c>
      <c r="G775" s="32">
        <v>46021</v>
      </c>
      <c r="H775" s="4" t="s">
        <v>856</v>
      </c>
      <c r="I775" s="4" t="s">
        <v>448</v>
      </c>
      <c r="J775" s="4"/>
      <c r="K775" s="67" t="b">
        <v>1</v>
      </c>
      <c r="L775" s="4"/>
      <c r="M775" s="4"/>
      <c r="N775" s="67" t="b">
        <v>1</v>
      </c>
      <c r="O775" s="4"/>
      <c r="P775" s="4"/>
      <c r="Q775" s="67" t="b">
        <v>1</v>
      </c>
      <c r="R775" s="4"/>
      <c r="S775" s="4" t="s">
        <v>119</v>
      </c>
      <c r="T775" s="33">
        <v>46044</v>
      </c>
      <c r="U775" s="15">
        <v>150</v>
      </c>
      <c r="V775" s="4">
        <v>0</v>
      </c>
      <c r="W775" s="4">
        <v>1</v>
      </c>
      <c r="X775" s="8">
        <v>46054</v>
      </c>
    </row>
    <row r="776" spans="1:25" ht="12.5">
      <c r="A776" s="4" t="s">
        <v>5</v>
      </c>
      <c r="B776" s="4" t="s">
        <v>119</v>
      </c>
      <c r="C776" s="4" t="s">
        <v>1909</v>
      </c>
      <c r="E776" s="4" t="s">
        <v>1910</v>
      </c>
      <c r="F776" s="4" t="s">
        <v>66</v>
      </c>
      <c r="G776" s="32">
        <v>46021</v>
      </c>
      <c r="H776" s="9" t="s">
        <v>956</v>
      </c>
      <c r="I776" s="4" t="s">
        <v>448</v>
      </c>
      <c r="J776" s="4"/>
      <c r="K776" s="67" t="b">
        <v>1</v>
      </c>
      <c r="L776" s="4"/>
      <c r="M776" s="4"/>
      <c r="N776" s="4"/>
      <c r="O776" s="4"/>
      <c r="P776" s="4"/>
      <c r="Q776" s="4"/>
      <c r="R776" s="4"/>
      <c r="S776" s="8"/>
    </row>
    <row r="777" spans="1:25" ht="12.5">
      <c r="A777" s="4" t="s">
        <v>5</v>
      </c>
      <c r="B777" s="4" t="s">
        <v>398</v>
      </c>
      <c r="C777" s="4" t="s">
        <v>1911</v>
      </c>
      <c r="D777" s="4" t="s">
        <v>1912</v>
      </c>
      <c r="E777" s="4">
        <v>34609434840</v>
      </c>
      <c r="F777" s="4" t="s">
        <v>70</v>
      </c>
      <c r="G777" s="32">
        <v>46021</v>
      </c>
      <c r="H777" s="9" t="s">
        <v>856</v>
      </c>
      <c r="I777" s="4" t="s">
        <v>459</v>
      </c>
      <c r="K777" s="67" t="b">
        <v>1</v>
      </c>
      <c r="S777" s="8"/>
    </row>
    <row r="778" spans="1:25" ht="12.5">
      <c r="A778" s="4" t="s">
        <v>5</v>
      </c>
      <c r="B778" s="4" t="s">
        <v>119</v>
      </c>
      <c r="C778" s="4" t="s">
        <v>1913</v>
      </c>
      <c r="D778" s="4" t="s">
        <v>1914</v>
      </c>
      <c r="E778" s="4">
        <v>34657845363</v>
      </c>
      <c r="F778" s="4" t="s">
        <v>70</v>
      </c>
      <c r="G778" s="32">
        <v>46021</v>
      </c>
      <c r="H778" s="9" t="s">
        <v>856</v>
      </c>
      <c r="I778" s="4" t="s">
        <v>459</v>
      </c>
      <c r="K778" s="67" t="b">
        <v>1</v>
      </c>
      <c r="N778" s="67" t="b">
        <v>1</v>
      </c>
      <c r="S778" s="8"/>
    </row>
    <row r="779" spans="1:25" ht="14">
      <c r="A779" s="9" t="s">
        <v>5</v>
      </c>
      <c r="B779" s="4" t="s">
        <v>398</v>
      </c>
      <c r="C779" s="38" t="s">
        <v>257</v>
      </c>
      <c r="D779" s="21" t="s">
        <v>1915</v>
      </c>
      <c r="E779" s="4" t="s">
        <v>258</v>
      </c>
      <c r="F779" s="20" t="s">
        <v>259</v>
      </c>
      <c r="G779" s="4" t="s">
        <v>260</v>
      </c>
      <c r="H779" s="9" t="s">
        <v>956</v>
      </c>
      <c r="I779" s="4" t="s">
        <v>448</v>
      </c>
      <c r="J779" s="4"/>
      <c r="K779" s="67" t="b">
        <v>1</v>
      </c>
      <c r="L779" s="4"/>
      <c r="M779" s="4"/>
      <c r="N779" s="4"/>
      <c r="O779" s="4"/>
      <c r="P779" s="4"/>
      <c r="Q779" s="4"/>
      <c r="R779" s="4"/>
      <c r="S779" s="4" t="s">
        <v>119</v>
      </c>
      <c r="T779" s="18">
        <v>46022</v>
      </c>
      <c r="U779" s="6">
        <v>137.5</v>
      </c>
      <c r="V779" s="7">
        <v>0.5</v>
      </c>
      <c r="W779" s="4">
        <v>1</v>
      </c>
      <c r="X779" s="8">
        <v>45658</v>
      </c>
    </row>
    <row r="780" spans="1:25" ht="14">
      <c r="A780" s="9" t="s">
        <v>5</v>
      </c>
      <c r="B780" s="4" t="s">
        <v>119</v>
      </c>
      <c r="C780" s="21" t="s">
        <v>1916</v>
      </c>
      <c r="D780" s="21" t="s">
        <v>1917</v>
      </c>
      <c r="E780" s="4">
        <v>34609586207</v>
      </c>
      <c r="F780" s="89" t="s">
        <v>984</v>
      </c>
      <c r="G780" s="32">
        <v>46022</v>
      </c>
      <c r="H780" s="9" t="s">
        <v>856</v>
      </c>
      <c r="I780" s="4" t="s">
        <v>459</v>
      </c>
      <c r="K780" s="67" t="b">
        <v>1</v>
      </c>
      <c r="N780" s="67" t="b">
        <v>1</v>
      </c>
      <c r="S780" s="4"/>
      <c r="T780" s="18"/>
      <c r="U780" s="6"/>
      <c r="V780" s="7"/>
      <c r="W780" s="4"/>
      <c r="X780" s="8"/>
    </row>
    <row r="781" spans="1:25" ht="14">
      <c r="A781" s="9" t="s">
        <v>5</v>
      </c>
      <c r="B781" s="4" t="s">
        <v>398</v>
      </c>
      <c r="C781" s="21" t="s">
        <v>1918</v>
      </c>
      <c r="D781" s="21" t="s">
        <v>1919</v>
      </c>
      <c r="E781" s="4">
        <v>573152995860</v>
      </c>
      <c r="F781" s="89" t="s">
        <v>1920</v>
      </c>
      <c r="G781" s="32">
        <v>46022</v>
      </c>
      <c r="H781" s="9" t="s">
        <v>856</v>
      </c>
      <c r="I781" s="4" t="s">
        <v>459</v>
      </c>
      <c r="K781" s="67" t="b">
        <v>1</v>
      </c>
      <c r="S781" s="4"/>
      <c r="T781" s="18"/>
      <c r="U781" s="6"/>
      <c r="V781" s="7"/>
      <c r="W781" s="4"/>
      <c r="X781" s="8"/>
    </row>
    <row r="782" spans="1:25" ht="14">
      <c r="A782" s="9" t="s">
        <v>5</v>
      </c>
      <c r="B782" s="4" t="s">
        <v>119</v>
      </c>
      <c r="C782" s="21" t="s">
        <v>1921</v>
      </c>
      <c r="D782" s="21" t="s">
        <v>1922</v>
      </c>
      <c r="E782" s="4">
        <v>51969388877</v>
      </c>
      <c r="F782" s="89" t="s">
        <v>488</v>
      </c>
      <c r="G782" s="32">
        <v>46022</v>
      </c>
      <c r="H782" s="9" t="s">
        <v>856</v>
      </c>
      <c r="I782" s="4" t="s">
        <v>459</v>
      </c>
      <c r="K782" s="67" t="b">
        <v>1</v>
      </c>
      <c r="N782" s="67" t="b">
        <v>1</v>
      </c>
      <c r="Q782" s="67" t="b">
        <v>1</v>
      </c>
      <c r="S782" s="4"/>
      <c r="T782" s="18"/>
      <c r="U782" s="6"/>
      <c r="V782" s="7"/>
      <c r="W782" s="4"/>
      <c r="X782" s="8"/>
    </row>
    <row r="783" spans="1:25" ht="14">
      <c r="A783" s="9" t="s">
        <v>5</v>
      </c>
      <c r="B783" s="4" t="s">
        <v>398</v>
      </c>
      <c r="C783" s="21" t="s">
        <v>1923</v>
      </c>
      <c r="D783" s="21" t="s">
        <v>1924</v>
      </c>
      <c r="E783" s="4">
        <v>34652905815</v>
      </c>
      <c r="F783" s="89" t="s">
        <v>63</v>
      </c>
      <c r="G783" s="32">
        <v>46023</v>
      </c>
      <c r="H783" s="9" t="s">
        <v>856</v>
      </c>
      <c r="I783" s="4" t="s">
        <v>459</v>
      </c>
      <c r="K783" s="67" t="b">
        <v>1</v>
      </c>
      <c r="N783" s="67" t="b">
        <v>1</v>
      </c>
      <c r="S783" s="4"/>
      <c r="T783" s="18"/>
      <c r="U783" s="6"/>
      <c r="V783" s="7"/>
      <c r="W783" s="4"/>
      <c r="X783" s="8"/>
    </row>
    <row r="784" spans="1:25" ht="14">
      <c r="A784" s="9" t="s">
        <v>5</v>
      </c>
      <c r="B784" s="4" t="s">
        <v>119</v>
      </c>
      <c r="C784" s="21" t="s">
        <v>263</v>
      </c>
      <c r="D784" s="21" t="s">
        <v>264</v>
      </c>
      <c r="E784" s="4">
        <v>4915164676992</v>
      </c>
      <c r="F784" s="89" t="s">
        <v>70</v>
      </c>
      <c r="G784" s="32">
        <v>46023</v>
      </c>
      <c r="H784" s="9" t="s">
        <v>856</v>
      </c>
      <c r="I784" s="4" t="s">
        <v>448</v>
      </c>
      <c r="K784" s="67" t="b">
        <v>1</v>
      </c>
      <c r="N784" s="67" t="b">
        <v>1</v>
      </c>
      <c r="Q784" s="67"/>
      <c r="S784" s="4" t="s">
        <v>119</v>
      </c>
      <c r="T784" s="18">
        <v>46030</v>
      </c>
      <c r="U784" s="15">
        <v>125</v>
      </c>
      <c r="V784" s="7">
        <v>0.5</v>
      </c>
      <c r="W784" s="4">
        <v>1</v>
      </c>
      <c r="X784" s="8">
        <v>46023</v>
      </c>
    </row>
    <row r="785" spans="1:43" ht="14">
      <c r="A785" s="9" t="s">
        <v>5</v>
      </c>
      <c r="B785" s="4" t="s">
        <v>398</v>
      </c>
      <c r="C785" s="21" t="s">
        <v>1925</v>
      </c>
      <c r="D785" s="21" t="s">
        <v>1926</v>
      </c>
      <c r="E785" s="4">
        <v>34639815786</v>
      </c>
      <c r="F785" s="89" t="s">
        <v>70</v>
      </c>
      <c r="G785" s="32">
        <v>46023</v>
      </c>
      <c r="H785" s="9" t="s">
        <v>856</v>
      </c>
      <c r="I785" s="4" t="s">
        <v>459</v>
      </c>
      <c r="K785" s="67" t="b">
        <v>1</v>
      </c>
      <c r="N785" s="67" t="b">
        <v>1</v>
      </c>
      <c r="S785" s="4"/>
      <c r="T785" s="18"/>
      <c r="U785" s="6"/>
      <c r="V785" s="7"/>
      <c r="W785" s="4"/>
      <c r="X785" s="8"/>
    </row>
    <row r="786" spans="1:43" ht="14">
      <c r="A786" s="9" t="s">
        <v>5</v>
      </c>
      <c r="B786" s="4" t="s">
        <v>119</v>
      </c>
      <c r="C786" s="21" t="s">
        <v>1925</v>
      </c>
      <c r="D786" s="21" t="s">
        <v>1926</v>
      </c>
      <c r="E786" s="4">
        <v>34639815786</v>
      </c>
      <c r="F786" s="89" t="s">
        <v>70</v>
      </c>
      <c r="G786" s="32">
        <v>46023</v>
      </c>
      <c r="H786" s="9" t="s">
        <v>856</v>
      </c>
      <c r="I786" s="4" t="s">
        <v>459</v>
      </c>
      <c r="K786" s="67" t="b">
        <v>1</v>
      </c>
      <c r="N786" s="67" t="b">
        <v>1</v>
      </c>
      <c r="Q786" s="67" t="b">
        <v>1</v>
      </c>
      <c r="S786" s="4"/>
      <c r="T786" s="18"/>
      <c r="U786" s="6"/>
      <c r="V786" s="7"/>
      <c r="W786" s="4"/>
      <c r="X786" s="8"/>
    </row>
    <row r="787" spans="1:43" ht="14">
      <c r="A787" s="9" t="s">
        <v>5</v>
      </c>
      <c r="B787" s="4" t="s">
        <v>398</v>
      </c>
      <c r="C787" s="21" t="s">
        <v>1927</v>
      </c>
      <c r="D787" s="21" t="s">
        <v>1928</v>
      </c>
      <c r="E787" s="4">
        <v>972549311467</v>
      </c>
      <c r="F787" s="89" t="s">
        <v>496</v>
      </c>
      <c r="G787" s="32">
        <v>46024</v>
      </c>
      <c r="H787" s="9" t="s">
        <v>856</v>
      </c>
      <c r="I787" s="4" t="s">
        <v>459</v>
      </c>
      <c r="K787" s="67" t="b">
        <v>1</v>
      </c>
      <c r="N787" s="67" t="b">
        <v>1</v>
      </c>
      <c r="S787" s="4"/>
      <c r="T787" s="18"/>
      <c r="U787" s="6"/>
      <c r="V787" s="7"/>
      <c r="W787" s="4"/>
      <c r="X787" s="8"/>
    </row>
    <row r="788" spans="1:43" ht="14">
      <c r="A788" s="9" t="s">
        <v>5</v>
      </c>
      <c r="B788" s="4" t="s">
        <v>119</v>
      </c>
      <c r="C788" s="21" t="s">
        <v>1929</v>
      </c>
      <c r="D788" s="21" t="s">
        <v>1930</v>
      </c>
      <c r="E788" s="4">
        <v>34676236883</v>
      </c>
      <c r="F788" s="89" t="s">
        <v>82</v>
      </c>
      <c r="G788" s="32">
        <v>46024</v>
      </c>
      <c r="H788" s="9" t="s">
        <v>856</v>
      </c>
      <c r="I788" s="4" t="s">
        <v>459</v>
      </c>
      <c r="K788" s="67" t="b">
        <v>1</v>
      </c>
      <c r="N788" s="67" t="b">
        <v>1</v>
      </c>
      <c r="Q788" s="67" t="b">
        <v>1</v>
      </c>
      <c r="S788" s="4"/>
      <c r="T788" s="18"/>
      <c r="U788" s="6"/>
      <c r="V788" s="7"/>
      <c r="W788" s="4"/>
      <c r="X788" s="8"/>
    </row>
    <row r="789" spans="1:43" ht="14">
      <c r="A789" s="9" t="s">
        <v>5</v>
      </c>
      <c r="B789" s="4" t="s">
        <v>398</v>
      </c>
      <c r="C789" s="21" t="s">
        <v>1931</v>
      </c>
      <c r="D789" s="21" t="s">
        <v>1269</v>
      </c>
      <c r="E789" s="4">
        <v>56953120875</v>
      </c>
      <c r="F789" s="89" t="s">
        <v>205</v>
      </c>
      <c r="G789" s="32">
        <v>46024</v>
      </c>
      <c r="H789" s="9" t="s">
        <v>856</v>
      </c>
      <c r="I789" s="4" t="s">
        <v>448</v>
      </c>
      <c r="K789" s="67" t="b">
        <v>1</v>
      </c>
      <c r="N789" s="67" t="b">
        <v>1</v>
      </c>
      <c r="S789" s="4" t="s">
        <v>119</v>
      </c>
      <c r="T789" s="18">
        <v>46035</v>
      </c>
      <c r="U789" s="6">
        <v>138.30000000000001</v>
      </c>
      <c r="V789" s="7">
        <v>0.3</v>
      </c>
      <c r="W789" s="4">
        <v>1</v>
      </c>
      <c r="X789" s="8">
        <v>46054</v>
      </c>
    </row>
    <row r="790" spans="1:43" ht="14">
      <c r="A790" s="9" t="s">
        <v>5</v>
      </c>
      <c r="B790" s="4" t="s">
        <v>119</v>
      </c>
      <c r="C790" s="21" t="s">
        <v>1932</v>
      </c>
      <c r="D790" s="21" t="s">
        <v>271</v>
      </c>
      <c r="E790" s="4">
        <v>34616794443</v>
      </c>
      <c r="F790" s="89" t="s">
        <v>52</v>
      </c>
      <c r="G790" s="32">
        <v>46024</v>
      </c>
      <c r="H790" s="9" t="s">
        <v>856</v>
      </c>
      <c r="I790" s="4" t="s">
        <v>448</v>
      </c>
      <c r="K790" s="67" t="b">
        <v>1</v>
      </c>
      <c r="N790" s="67" t="b">
        <v>1</v>
      </c>
      <c r="S790" s="4" t="s">
        <v>119</v>
      </c>
      <c r="T790" s="18">
        <v>46032</v>
      </c>
      <c r="U790" s="34">
        <v>98</v>
      </c>
      <c r="V790" s="7">
        <v>0.3</v>
      </c>
      <c r="W790" s="62">
        <v>1</v>
      </c>
      <c r="X790" s="8">
        <v>46023</v>
      </c>
      <c r="Y790" s="89"/>
      <c r="Z790" s="32"/>
      <c r="AA790" s="9"/>
      <c r="AB790" s="4"/>
      <c r="AD790" s="67"/>
      <c r="AL790" s="4"/>
      <c r="AM790" s="18"/>
      <c r="AN790" s="6"/>
      <c r="AO790" s="7"/>
      <c r="AP790" s="4"/>
      <c r="AQ790" s="8"/>
    </row>
    <row r="791" spans="1:43" ht="14">
      <c r="A791" s="9" t="s">
        <v>5</v>
      </c>
      <c r="B791" s="4" t="s">
        <v>398</v>
      </c>
      <c r="C791" s="21" t="s">
        <v>279</v>
      </c>
      <c r="D791" s="21" t="s">
        <v>1933</v>
      </c>
      <c r="E791" s="4">
        <v>34644927732</v>
      </c>
      <c r="F791" s="89" t="s">
        <v>70</v>
      </c>
      <c r="G791" s="32">
        <v>46024</v>
      </c>
      <c r="H791" s="9" t="s">
        <v>856</v>
      </c>
      <c r="I791" s="4" t="s">
        <v>448</v>
      </c>
      <c r="K791" s="67" t="b">
        <v>1</v>
      </c>
      <c r="N791" s="67" t="b">
        <v>1</v>
      </c>
      <c r="S791" s="4" t="s">
        <v>119</v>
      </c>
      <c r="T791" s="18">
        <v>46041</v>
      </c>
      <c r="U791" s="34">
        <v>175</v>
      </c>
      <c r="V791" s="7">
        <v>0.3</v>
      </c>
      <c r="W791" s="62">
        <v>1</v>
      </c>
      <c r="X791" s="8">
        <v>46023</v>
      </c>
      <c r="Y791" s="89"/>
      <c r="Z791" s="32"/>
      <c r="AA791" s="9"/>
      <c r="AB791" s="4"/>
      <c r="AD791" s="67"/>
      <c r="AL791" s="4"/>
      <c r="AM791" s="18"/>
      <c r="AN791" s="6"/>
      <c r="AO791" s="7"/>
      <c r="AP791" s="4"/>
      <c r="AQ791" s="8"/>
    </row>
    <row r="792" spans="1:43" ht="14">
      <c r="A792" s="9" t="s">
        <v>5</v>
      </c>
      <c r="B792" s="4" t="s">
        <v>119</v>
      </c>
      <c r="C792" s="21" t="s">
        <v>1934</v>
      </c>
      <c r="D792" s="21" t="s">
        <v>1935</v>
      </c>
      <c r="E792" s="4">
        <v>529516149277</v>
      </c>
      <c r="F792" s="89" t="s">
        <v>27</v>
      </c>
      <c r="G792" s="32">
        <v>46024</v>
      </c>
      <c r="H792" s="9" t="s">
        <v>856</v>
      </c>
      <c r="I792" s="4" t="s">
        <v>459</v>
      </c>
      <c r="K792" s="67" t="b">
        <v>1</v>
      </c>
      <c r="N792" s="67" t="b">
        <v>1</v>
      </c>
      <c r="Q792" s="67" t="b">
        <v>1</v>
      </c>
      <c r="S792" s="4"/>
      <c r="T792" s="18"/>
      <c r="U792" s="9"/>
      <c r="V792" s="21"/>
      <c r="W792" s="21"/>
      <c r="X792" s="4"/>
      <c r="Y792" s="89"/>
      <c r="Z792" s="32"/>
      <c r="AA792" s="9"/>
      <c r="AB792" s="4"/>
      <c r="AD792" s="67"/>
      <c r="AL792" s="4"/>
      <c r="AM792" s="18"/>
      <c r="AN792" s="6"/>
      <c r="AO792" s="7"/>
      <c r="AP792" s="4"/>
      <c r="AQ792" s="8"/>
    </row>
    <row r="793" spans="1:43" ht="14">
      <c r="A793" s="9" t="s">
        <v>5</v>
      </c>
      <c r="B793" s="4" t="s">
        <v>398</v>
      </c>
      <c r="C793" s="21" t="s">
        <v>1936</v>
      </c>
      <c r="D793" s="21" t="s">
        <v>1937</v>
      </c>
      <c r="E793" s="4">
        <v>543446647069</v>
      </c>
      <c r="F793" s="89" t="s">
        <v>8</v>
      </c>
      <c r="G793" s="32">
        <v>46024</v>
      </c>
      <c r="H793" s="9" t="s">
        <v>856</v>
      </c>
      <c r="I793" s="4" t="s">
        <v>459</v>
      </c>
      <c r="K793" s="67" t="b">
        <v>1</v>
      </c>
      <c r="N793" s="67" t="b">
        <v>1</v>
      </c>
      <c r="S793" s="4"/>
      <c r="T793" s="18"/>
      <c r="U793" s="9"/>
      <c r="V793" s="21"/>
      <c r="W793" s="21"/>
      <c r="X793" s="4"/>
      <c r="Y793" s="89"/>
      <c r="Z793" s="32"/>
      <c r="AA793" s="9"/>
      <c r="AB793" s="4"/>
      <c r="AD793" s="67"/>
      <c r="AL793" s="4"/>
      <c r="AM793" s="18"/>
      <c r="AN793" s="6"/>
      <c r="AO793" s="7"/>
      <c r="AP793" s="4"/>
      <c r="AQ793" s="8"/>
    </row>
    <row r="794" spans="1:43" ht="14">
      <c r="A794" s="9" t="s">
        <v>5</v>
      </c>
      <c r="B794" s="4" t="s">
        <v>119</v>
      </c>
      <c r="C794" s="21" t="s">
        <v>1938</v>
      </c>
      <c r="D794" s="21" t="s">
        <v>1939</v>
      </c>
      <c r="E794" s="4">
        <v>34646561449</v>
      </c>
      <c r="F794" s="89" t="s">
        <v>52</v>
      </c>
      <c r="G794" s="32">
        <v>46024</v>
      </c>
      <c r="H794" s="9" t="s">
        <v>856</v>
      </c>
      <c r="I794" s="4" t="s">
        <v>459</v>
      </c>
      <c r="K794" s="67" t="b">
        <v>1</v>
      </c>
      <c r="N794" s="67" t="b">
        <v>1</v>
      </c>
      <c r="Q794" s="67" t="b">
        <v>1</v>
      </c>
      <c r="S794" s="4"/>
      <c r="T794" s="18"/>
      <c r="U794" s="9"/>
      <c r="V794" s="21"/>
      <c r="W794" s="21"/>
      <c r="X794" s="4"/>
      <c r="Y794" s="89"/>
      <c r="Z794" s="32"/>
      <c r="AA794" s="9"/>
      <c r="AB794" s="4"/>
      <c r="AD794" s="67"/>
      <c r="AL794" s="4"/>
      <c r="AM794" s="18"/>
      <c r="AN794" s="6"/>
      <c r="AO794" s="7"/>
      <c r="AP794" s="4"/>
      <c r="AQ794" s="8"/>
    </row>
    <row r="795" spans="1:43" ht="14">
      <c r="A795" s="9" t="s">
        <v>5</v>
      </c>
      <c r="B795" s="4" t="s">
        <v>398</v>
      </c>
      <c r="C795" s="21" t="s">
        <v>1940</v>
      </c>
      <c r="D795" s="21" t="s">
        <v>1941</v>
      </c>
      <c r="E795" s="4">
        <v>34691661246</v>
      </c>
      <c r="F795" s="89" t="s">
        <v>1942</v>
      </c>
      <c r="G795" s="32">
        <v>46025</v>
      </c>
      <c r="H795" s="9" t="s">
        <v>856</v>
      </c>
      <c r="I795" s="4" t="s">
        <v>459</v>
      </c>
      <c r="K795" s="67" t="b">
        <v>1</v>
      </c>
      <c r="N795" s="67" t="b">
        <v>1</v>
      </c>
      <c r="S795" s="4"/>
      <c r="T795" s="18"/>
      <c r="U795" s="9"/>
      <c r="V795" s="21"/>
      <c r="W795" s="21"/>
      <c r="X795" s="4"/>
      <c r="Y795" s="89"/>
      <c r="Z795" s="32"/>
      <c r="AA795" s="9"/>
      <c r="AB795" s="4"/>
      <c r="AD795" s="67"/>
      <c r="AL795" s="4"/>
      <c r="AM795" s="18"/>
      <c r="AN795" s="6"/>
      <c r="AO795" s="7"/>
      <c r="AP795" s="4"/>
      <c r="AQ795" s="8"/>
    </row>
    <row r="796" spans="1:43" ht="14">
      <c r="A796" s="9" t="s">
        <v>5</v>
      </c>
      <c r="B796" s="4" t="s">
        <v>119</v>
      </c>
      <c r="C796" s="21" t="s">
        <v>1943</v>
      </c>
      <c r="D796" s="21" t="s">
        <v>1944</v>
      </c>
      <c r="E796" s="4">
        <v>556643198585</v>
      </c>
      <c r="F796" s="89" t="s">
        <v>1282</v>
      </c>
      <c r="G796" s="32">
        <v>46025</v>
      </c>
      <c r="H796" s="9" t="s">
        <v>856</v>
      </c>
      <c r="I796" s="4" t="s">
        <v>459</v>
      </c>
      <c r="K796" s="67"/>
      <c r="N796" s="67"/>
      <c r="S796" s="4"/>
      <c r="T796" s="18"/>
      <c r="U796" s="9"/>
      <c r="V796" s="21"/>
      <c r="W796" s="21"/>
      <c r="X796" s="4"/>
      <c r="Y796" s="89"/>
      <c r="Z796" s="32"/>
      <c r="AA796" s="9"/>
      <c r="AB796" s="4"/>
      <c r="AD796" s="67"/>
      <c r="AL796" s="4"/>
      <c r="AM796" s="18"/>
      <c r="AN796" s="6"/>
      <c r="AO796" s="7"/>
      <c r="AP796" s="4"/>
      <c r="AQ796" s="8"/>
    </row>
    <row r="797" spans="1:43" ht="14">
      <c r="A797" s="9" t="s">
        <v>5</v>
      </c>
      <c r="B797" s="4" t="s">
        <v>398</v>
      </c>
      <c r="C797" s="21" t="s">
        <v>1945</v>
      </c>
      <c r="D797" s="21" t="s">
        <v>1946</v>
      </c>
      <c r="E797" s="4">
        <v>523337231213</v>
      </c>
      <c r="F797" s="89" t="s">
        <v>387</v>
      </c>
      <c r="G797" s="32">
        <v>46026</v>
      </c>
      <c r="H797" s="9" t="s">
        <v>856</v>
      </c>
      <c r="I797" s="4" t="s">
        <v>459</v>
      </c>
      <c r="K797" s="67" t="b">
        <v>1</v>
      </c>
      <c r="N797" s="67" t="b">
        <v>1</v>
      </c>
      <c r="S797" s="4"/>
      <c r="T797" s="18"/>
      <c r="U797" s="9"/>
      <c r="V797" s="21"/>
      <c r="W797" s="21"/>
      <c r="X797" s="4"/>
      <c r="Y797" s="89"/>
      <c r="Z797" s="32"/>
      <c r="AA797" s="9"/>
      <c r="AB797" s="4"/>
      <c r="AD797" s="67"/>
      <c r="AL797" s="4"/>
      <c r="AM797" s="18"/>
      <c r="AN797" s="6"/>
      <c r="AO797" s="7"/>
      <c r="AP797" s="4"/>
      <c r="AQ797" s="8"/>
    </row>
    <row r="798" spans="1:43" ht="14">
      <c r="A798" s="9" t="s">
        <v>5</v>
      </c>
      <c r="B798" s="4" t="s">
        <v>119</v>
      </c>
      <c r="C798" s="21" t="s">
        <v>1945</v>
      </c>
      <c r="D798" s="21" t="s">
        <v>1946</v>
      </c>
      <c r="E798" s="4">
        <v>523337231213</v>
      </c>
      <c r="F798" s="89" t="s">
        <v>210</v>
      </c>
      <c r="G798" s="32">
        <v>46026</v>
      </c>
      <c r="H798" s="9" t="s">
        <v>856</v>
      </c>
      <c r="I798" s="4" t="s">
        <v>459</v>
      </c>
      <c r="K798" s="67" t="b">
        <v>1</v>
      </c>
      <c r="N798" s="67" t="b">
        <v>1</v>
      </c>
      <c r="Q798" s="67" t="b">
        <v>1</v>
      </c>
      <c r="S798" s="4"/>
      <c r="T798" s="18"/>
      <c r="U798" s="9"/>
      <c r="V798" s="21"/>
      <c r="W798" s="21"/>
      <c r="X798" s="4"/>
      <c r="Y798" s="89"/>
      <c r="Z798" s="32"/>
      <c r="AA798" s="9"/>
      <c r="AB798" s="4"/>
      <c r="AD798" s="67"/>
      <c r="AL798" s="4"/>
      <c r="AM798" s="18"/>
      <c r="AN798" s="6"/>
      <c r="AO798" s="7"/>
      <c r="AP798" s="4"/>
      <c r="AQ798" s="8"/>
    </row>
    <row r="799" spans="1:43" ht="14">
      <c r="A799" s="9" t="s">
        <v>5</v>
      </c>
      <c r="B799" s="4" t="s">
        <v>398</v>
      </c>
      <c r="C799" s="21" t="s">
        <v>1947</v>
      </c>
      <c r="D799" s="21" t="s">
        <v>1948</v>
      </c>
      <c r="E799" s="4">
        <v>34647422812</v>
      </c>
      <c r="F799" s="89" t="s">
        <v>354</v>
      </c>
      <c r="G799" s="32">
        <v>46027</v>
      </c>
      <c r="H799" s="9" t="s">
        <v>856</v>
      </c>
      <c r="I799" s="4" t="s">
        <v>459</v>
      </c>
      <c r="K799" s="67" t="b">
        <v>1</v>
      </c>
      <c r="N799" s="67" t="b">
        <v>1</v>
      </c>
      <c r="S799" s="4"/>
      <c r="T799" s="18"/>
      <c r="U799" s="9"/>
      <c r="V799" s="21"/>
      <c r="W799" s="21"/>
      <c r="X799" s="4"/>
      <c r="Y799" s="89"/>
      <c r="Z799" s="32"/>
      <c r="AA799" s="9"/>
      <c r="AB799" s="4"/>
      <c r="AD799" s="67"/>
      <c r="AL799" s="4"/>
      <c r="AM799" s="18"/>
      <c r="AN799" s="6"/>
      <c r="AO799" s="7"/>
      <c r="AP799" s="4"/>
      <c r="AQ799" s="8"/>
    </row>
    <row r="800" spans="1:43" ht="14">
      <c r="A800" s="9" t="s">
        <v>5</v>
      </c>
      <c r="B800" s="4" t="s">
        <v>119</v>
      </c>
      <c r="C800" s="21" t="s">
        <v>1947</v>
      </c>
      <c r="D800" s="21" t="s">
        <v>1948</v>
      </c>
      <c r="E800" s="4">
        <v>34647422812</v>
      </c>
      <c r="F800" s="89" t="s">
        <v>354</v>
      </c>
      <c r="G800" s="32">
        <v>46027</v>
      </c>
      <c r="H800" s="9" t="s">
        <v>856</v>
      </c>
      <c r="I800" s="4" t="s">
        <v>459</v>
      </c>
      <c r="K800" s="67" t="b">
        <v>1</v>
      </c>
      <c r="N800" s="67" t="b">
        <v>1</v>
      </c>
      <c r="Q800" s="67" t="b">
        <v>1</v>
      </c>
      <c r="S800" s="4"/>
      <c r="T800" s="18"/>
      <c r="U800" s="9"/>
      <c r="V800" s="21"/>
      <c r="W800" s="21"/>
      <c r="X800" s="4"/>
      <c r="Y800" s="89"/>
      <c r="Z800" s="32"/>
      <c r="AA800" s="9"/>
      <c r="AB800" s="4"/>
      <c r="AD800" s="67"/>
      <c r="AG800" s="67"/>
      <c r="AL800" s="4"/>
      <c r="AM800" s="18"/>
      <c r="AN800" s="6"/>
      <c r="AO800" s="7"/>
      <c r="AP800" s="4"/>
      <c r="AQ800" s="8"/>
    </row>
    <row r="801" spans="1:43" ht="14">
      <c r="A801" s="9" t="s">
        <v>5</v>
      </c>
      <c r="B801" s="4" t="s">
        <v>398</v>
      </c>
      <c r="C801" s="21" t="s">
        <v>1949</v>
      </c>
      <c r="D801" s="21" t="s">
        <v>266</v>
      </c>
      <c r="E801" s="4">
        <v>34635733803</v>
      </c>
      <c r="F801" s="89" t="s">
        <v>267</v>
      </c>
      <c r="G801" s="32">
        <v>46027</v>
      </c>
      <c r="H801" s="9" t="s">
        <v>856</v>
      </c>
      <c r="I801" s="4" t="s">
        <v>448</v>
      </c>
      <c r="K801" s="67" t="b">
        <v>1</v>
      </c>
      <c r="N801" s="67"/>
      <c r="S801" s="4" t="s">
        <v>119</v>
      </c>
      <c r="T801" s="18">
        <v>46031</v>
      </c>
      <c r="U801" s="34">
        <v>300</v>
      </c>
      <c r="V801" s="62">
        <v>0</v>
      </c>
      <c r="W801" s="21">
        <v>1</v>
      </c>
      <c r="X801" s="8">
        <v>46357</v>
      </c>
      <c r="Y801" s="89"/>
      <c r="Z801" s="32"/>
      <c r="AA801" s="9"/>
      <c r="AB801" s="4"/>
      <c r="AD801" s="67"/>
      <c r="AL801" s="4"/>
      <c r="AM801" s="18"/>
      <c r="AN801" s="6"/>
      <c r="AO801" s="7"/>
      <c r="AP801" s="4"/>
      <c r="AQ801" s="8"/>
    </row>
    <row r="802" spans="1:43" ht="14">
      <c r="A802" s="9" t="s">
        <v>5</v>
      </c>
      <c r="B802" s="4" t="s">
        <v>119</v>
      </c>
      <c r="C802" s="21" t="s">
        <v>1280</v>
      </c>
      <c r="D802" s="21" t="s">
        <v>1281</v>
      </c>
      <c r="E802" s="4">
        <v>34627011820</v>
      </c>
      <c r="F802" s="89" t="s">
        <v>94</v>
      </c>
      <c r="G802" s="32">
        <v>46027</v>
      </c>
      <c r="H802" s="9" t="s">
        <v>856</v>
      </c>
      <c r="I802" s="4" t="s">
        <v>459</v>
      </c>
      <c r="K802" s="67" t="b">
        <v>1</v>
      </c>
      <c r="N802" s="67" t="b">
        <v>1</v>
      </c>
      <c r="Q802" s="67" t="b">
        <v>1</v>
      </c>
      <c r="S802" s="4"/>
      <c r="T802" s="18"/>
      <c r="U802" s="9"/>
      <c r="V802" s="21"/>
      <c r="W802" s="21"/>
      <c r="X802" s="4"/>
      <c r="Y802" s="89"/>
      <c r="Z802" s="32"/>
      <c r="AA802" s="9"/>
      <c r="AB802" s="4"/>
      <c r="AD802" s="67"/>
      <c r="AL802" s="4"/>
      <c r="AM802" s="18"/>
      <c r="AN802" s="6"/>
      <c r="AO802" s="7"/>
      <c r="AP802" s="4"/>
      <c r="AQ802" s="8"/>
    </row>
    <row r="803" spans="1:43" ht="14">
      <c r="A803" s="9" t="s">
        <v>5</v>
      </c>
      <c r="B803" s="4" t="s">
        <v>398</v>
      </c>
      <c r="C803" s="21" t="s">
        <v>1950</v>
      </c>
      <c r="D803" s="21" t="s">
        <v>1951</v>
      </c>
      <c r="E803" s="4">
        <v>34645666971</v>
      </c>
      <c r="F803" s="89" t="s">
        <v>27</v>
      </c>
      <c r="G803" s="32">
        <v>46027</v>
      </c>
      <c r="H803" s="9" t="s">
        <v>856</v>
      </c>
      <c r="I803" s="4" t="s">
        <v>459</v>
      </c>
      <c r="K803" s="67" t="b">
        <v>1</v>
      </c>
      <c r="N803" s="67" t="b">
        <v>1</v>
      </c>
      <c r="S803" s="4"/>
      <c r="T803" s="18"/>
      <c r="U803" s="9"/>
      <c r="V803" s="21"/>
      <c r="W803" s="21"/>
      <c r="X803" s="4"/>
      <c r="Y803" s="89"/>
      <c r="Z803" s="32"/>
      <c r="AA803" s="9"/>
      <c r="AB803" s="4"/>
      <c r="AD803" s="67"/>
      <c r="AL803" s="4"/>
      <c r="AM803" s="18"/>
      <c r="AN803" s="6"/>
      <c r="AO803" s="7"/>
      <c r="AP803" s="4"/>
      <c r="AQ803" s="8"/>
    </row>
    <row r="804" spans="1:43" ht="14">
      <c r="A804" s="9" t="s">
        <v>5</v>
      </c>
      <c r="B804" s="4" t="s">
        <v>119</v>
      </c>
      <c r="C804" s="21" t="s">
        <v>1952</v>
      </c>
      <c r="D804" s="21" t="s">
        <v>1953</v>
      </c>
      <c r="E804" s="4">
        <v>51998326945</v>
      </c>
      <c r="F804" s="89" t="s">
        <v>902</v>
      </c>
      <c r="G804" s="32">
        <v>46027</v>
      </c>
      <c r="H804" s="9" t="s">
        <v>856</v>
      </c>
      <c r="I804" s="4" t="s">
        <v>459</v>
      </c>
      <c r="K804" s="67" t="b">
        <v>1</v>
      </c>
      <c r="N804" s="67" t="b">
        <v>1</v>
      </c>
      <c r="Q804" s="67" t="b">
        <v>1</v>
      </c>
      <c r="S804" s="4"/>
      <c r="T804" s="18"/>
      <c r="U804" s="9"/>
      <c r="V804" s="21"/>
      <c r="W804" s="21"/>
      <c r="X804" s="4"/>
      <c r="Y804" s="89"/>
      <c r="Z804" s="32"/>
      <c r="AA804" s="9"/>
      <c r="AB804" s="4"/>
      <c r="AD804" s="67"/>
      <c r="AL804" s="4"/>
      <c r="AM804" s="18"/>
      <c r="AN804" s="6"/>
      <c r="AO804" s="7"/>
      <c r="AP804" s="4"/>
      <c r="AQ804" s="8"/>
    </row>
    <row r="805" spans="1:43" ht="14">
      <c r="A805" s="9" t="s">
        <v>5</v>
      </c>
      <c r="B805" s="4" t="s">
        <v>398</v>
      </c>
      <c r="C805" s="21" t="s">
        <v>1954</v>
      </c>
      <c r="D805" s="21" t="s">
        <v>1955</v>
      </c>
      <c r="E805" s="4">
        <v>6.61242E+17</v>
      </c>
      <c r="F805" s="89" t="s">
        <v>82</v>
      </c>
      <c r="G805" s="32">
        <v>46027</v>
      </c>
      <c r="H805" s="9" t="s">
        <v>856</v>
      </c>
      <c r="I805" s="4" t="s">
        <v>459</v>
      </c>
      <c r="K805" s="67" t="b">
        <v>0</v>
      </c>
      <c r="L805" s="68" t="b">
        <v>1</v>
      </c>
      <c r="N805" s="67"/>
      <c r="S805" s="4"/>
      <c r="T805" s="18"/>
      <c r="U805" s="9"/>
      <c r="V805" s="21"/>
      <c r="W805" s="21"/>
      <c r="X805" s="4"/>
      <c r="Y805" s="89"/>
      <c r="Z805" s="32"/>
      <c r="AA805" s="9"/>
      <c r="AB805" s="4"/>
      <c r="AD805" s="67"/>
      <c r="AL805" s="4"/>
      <c r="AM805" s="18"/>
      <c r="AN805" s="6"/>
      <c r="AO805" s="7"/>
      <c r="AP805" s="4"/>
      <c r="AQ805" s="8"/>
    </row>
    <row r="806" spans="1:43" ht="14">
      <c r="A806" s="9" t="s">
        <v>5</v>
      </c>
      <c r="B806" s="4" t="s">
        <v>119</v>
      </c>
      <c r="C806" s="21" t="s">
        <v>1956</v>
      </c>
      <c r="D806" s="21" t="s">
        <v>1957</v>
      </c>
      <c r="E806" s="4">
        <v>34696934865</v>
      </c>
      <c r="F806" s="89" t="s">
        <v>52</v>
      </c>
      <c r="G806" s="32">
        <v>46027</v>
      </c>
      <c r="H806" s="9" t="s">
        <v>856</v>
      </c>
      <c r="I806" s="4" t="s">
        <v>459</v>
      </c>
      <c r="K806" s="67" t="b">
        <v>1</v>
      </c>
      <c r="N806" s="67" t="b">
        <v>1</v>
      </c>
      <c r="Q806" s="67" t="b">
        <v>1</v>
      </c>
      <c r="S806" s="4"/>
      <c r="T806" s="18"/>
      <c r="U806" s="9"/>
      <c r="V806" s="21"/>
      <c r="W806" s="21"/>
      <c r="X806" s="4"/>
      <c r="Y806" s="89"/>
      <c r="Z806" s="32"/>
      <c r="AA806" s="9"/>
      <c r="AB806" s="4"/>
      <c r="AD806" s="67"/>
      <c r="AL806" s="4"/>
      <c r="AM806" s="18"/>
      <c r="AN806" s="6"/>
      <c r="AO806" s="7"/>
      <c r="AP806" s="4"/>
      <c r="AQ806" s="8"/>
    </row>
    <row r="807" spans="1:43" ht="14">
      <c r="A807" s="9" t="s">
        <v>381</v>
      </c>
      <c r="B807" s="4" t="s">
        <v>398</v>
      </c>
      <c r="C807" s="21" t="s">
        <v>1958</v>
      </c>
      <c r="D807" s="21" t="s">
        <v>1959</v>
      </c>
      <c r="E807" s="4">
        <v>573144444224</v>
      </c>
      <c r="F807" s="89" t="s">
        <v>1960</v>
      </c>
      <c r="G807" s="32">
        <v>46027</v>
      </c>
      <c r="H807" s="9" t="s">
        <v>856</v>
      </c>
      <c r="I807" s="4" t="s">
        <v>459</v>
      </c>
      <c r="K807" s="67" t="b">
        <v>1</v>
      </c>
      <c r="S807" s="4"/>
      <c r="T807" s="18"/>
      <c r="U807" s="9"/>
      <c r="V807" s="21"/>
      <c r="W807" s="21"/>
      <c r="X807" s="4"/>
      <c r="Y807" s="89"/>
      <c r="Z807" s="32"/>
      <c r="AA807" s="9"/>
      <c r="AB807" s="4"/>
      <c r="AD807" s="67"/>
      <c r="AG807" s="67"/>
      <c r="AL807" s="4"/>
      <c r="AM807" s="18"/>
      <c r="AN807" s="6"/>
      <c r="AO807" s="7"/>
      <c r="AP807" s="4"/>
      <c r="AQ807" s="8"/>
    </row>
    <row r="808" spans="1:43" ht="14">
      <c r="A808" s="9" t="s">
        <v>5</v>
      </c>
      <c r="B808" s="4" t="s">
        <v>119</v>
      </c>
      <c r="C808" s="21" t="s">
        <v>1961</v>
      </c>
      <c r="D808" s="21" t="s">
        <v>1962</v>
      </c>
      <c r="E808" s="4">
        <v>34618074219</v>
      </c>
      <c r="F808" s="89" t="s">
        <v>297</v>
      </c>
      <c r="G808" s="32">
        <v>46027</v>
      </c>
      <c r="H808" s="9" t="s">
        <v>856</v>
      </c>
      <c r="I808" s="4" t="s">
        <v>459</v>
      </c>
      <c r="K808" s="67" t="b">
        <v>1</v>
      </c>
      <c r="S808" s="4"/>
      <c r="T808" s="18"/>
      <c r="U808" s="9"/>
      <c r="V808" s="21"/>
      <c r="W808" s="21"/>
      <c r="X808" s="4"/>
      <c r="Y808" s="89"/>
      <c r="Z808" s="32"/>
      <c r="AA808" s="9"/>
      <c r="AB808" s="4"/>
      <c r="AD808" s="67"/>
      <c r="AL808" s="4"/>
      <c r="AM808" s="18"/>
      <c r="AN808" s="6"/>
      <c r="AO808" s="7"/>
      <c r="AP808" s="4"/>
      <c r="AQ808" s="8"/>
    </row>
    <row r="809" spans="1:43" ht="14">
      <c r="A809" s="9" t="s">
        <v>5</v>
      </c>
      <c r="B809" s="4" t="s">
        <v>398</v>
      </c>
      <c r="C809" s="21" t="s">
        <v>1963</v>
      </c>
      <c r="D809" s="21" t="s">
        <v>1964</v>
      </c>
      <c r="E809" s="4">
        <v>56954127878</v>
      </c>
      <c r="F809" s="89" t="s">
        <v>1965</v>
      </c>
      <c r="G809" s="32">
        <v>46028</v>
      </c>
      <c r="H809" s="9" t="s">
        <v>856</v>
      </c>
      <c r="I809" s="4" t="s">
        <v>459</v>
      </c>
      <c r="K809" s="67" t="b">
        <v>1</v>
      </c>
      <c r="S809" s="4"/>
      <c r="T809" s="18"/>
      <c r="U809" s="9"/>
      <c r="V809" s="21"/>
      <c r="W809" s="21"/>
      <c r="X809" s="4"/>
      <c r="Y809" s="89"/>
      <c r="Z809" s="32"/>
      <c r="AA809" s="9"/>
      <c r="AB809" s="4"/>
      <c r="AD809" s="67"/>
      <c r="AL809" s="4"/>
      <c r="AM809" s="18"/>
      <c r="AN809" s="6"/>
      <c r="AO809" s="7"/>
      <c r="AP809" s="4"/>
      <c r="AQ809" s="8"/>
    </row>
    <row r="810" spans="1:43" ht="14">
      <c r="A810" s="9" t="s">
        <v>5</v>
      </c>
      <c r="B810" s="4" t="s">
        <v>119</v>
      </c>
      <c r="C810" s="21" t="s">
        <v>1966</v>
      </c>
      <c r="D810" s="21" t="s">
        <v>1967</v>
      </c>
      <c r="E810" s="4">
        <v>593987200249</v>
      </c>
      <c r="F810" s="89" t="s">
        <v>1811</v>
      </c>
      <c r="G810" s="32">
        <v>46028</v>
      </c>
      <c r="H810" s="9" t="s">
        <v>856</v>
      </c>
      <c r="I810" s="4" t="s">
        <v>459</v>
      </c>
      <c r="K810" s="67" t="b">
        <v>1</v>
      </c>
      <c r="N810" s="67" t="b">
        <v>1</v>
      </c>
      <c r="S810" s="4"/>
      <c r="T810" s="18"/>
      <c r="U810" s="9"/>
      <c r="V810" s="21"/>
      <c r="W810" s="21"/>
      <c r="X810" s="4"/>
      <c r="Y810" s="89"/>
      <c r="Z810" s="32"/>
      <c r="AA810" s="9"/>
      <c r="AB810" s="4"/>
      <c r="AD810" s="67"/>
      <c r="AL810" s="4"/>
      <c r="AM810" s="18"/>
      <c r="AN810" s="6"/>
      <c r="AO810" s="7"/>
      <c r="AP810" s="4"/>
      <c r="AQ810" s="8"/>
    </row>
    <row r="811" spans="1:43" ht="14">
      <c r="A811" s="9" t="s">
        <v>5</v>
      </c>
      <c r="B811" s="4" t="s">
        <v>398</v>
      </c>
      <c r="C811" s="21" t="s">
        <v>1968</v>
      </c>
      <c r="D811" s="21" t="s">
        <v>1969</v>
      </c>
      <c r="E811" s="4">
        <v>56963470147</v>
      </c>
      <c r="F811" s="89" t="s">
        <v>210</v>
      </c>
      <c r="G811" s="32">
        <v>46028</v>
      </c>
      <c r="H811" s="9" t="s">
        <v>856</v>
      </c>
      <c r="I811" s="4" t="s">
        <v>459</v>
      </c>
      <c r="K811" s="67" t="b">
        <v>1</v>
      </c>
      <c r="N811" s="67" t="b">
        <v>1</v>
      </c>
      <c r="S811" s="4"/>
      <c r="T811" s="18"/>
      <c r="U811" s="9"/>
      <c r="V811" s="21"/>
      <c r="W811" s="21"/>
      <c r="X811" s="4"/>
      <c r="Y811" s="89"/>
      <c r="Z811" s="32"/>
      <c r="AA811" s="9"/>
      <c r="AB811" s="4"/>
      <c r="AD811" s="67"/>
      <c r="AL811" s="4"/>
      <c r="AM811" s="18"/>
      <c r="AN811" s="6"/>
      <c r="AO811" s="7"/>
      <c r="AP811" s="4"/>
      <c r="AQ811" s="8"/>
    </row>
    <row r="812" spans="1:43" ht="14">
      <c r="A812" s="9" t="s">
        <v>5</v>
      </c>
      <c r="B812" s="4" t="s">
        <v>119</v>
      </c>
      <c r="C812" s="21" t="s">
        <v>1970</v>
      </c>
      <c r="D812" s="21" t="s">
        <v>1971</v>
      </c>
      <c r="E812" s="4">
        <v>34602588860</v>
      </c>
      <c r="F812" s="89" t="s">
        <v>33</v>
      </c>
      <c r="G812" s="32">
        <v>46028</v>
      </c>
      <c r="H812" s="9" t="s">
        <v>856</v>
      </c>
      <c r="I812" s="4" t="s">
        <v>459</v>
      </c>
      <c r="K812" s="67" t="b">
        <v>1</v>
      </c>
      <c r="N812" s="67" t="b">
        <v>1</v>
      </c>
      <c r="S812" s="4"/>
      <c r="T812" s="18"/>
      <c r="U812" s="9"/>
      <c r="V812" s="21"/>
      <c r="W812" s="21"/>
      <c r="X812" s="4"/>
      <c r="Y812" s="89"/>
      <c r="Z812" s="32"/>
      <c r="AA812" s="9"/>
      <c r="AB812" s="4"/>
      <c r="AD812" s="67"/>
      <c r="AL812" s="4"/>
      <c r="AM812" s="18"/>
      <c r="AN812" s="6"/>
      <c r="AO812" s="7"/>
      <c r="AP812" s="4"/>
      <c r="AQ812" s="8"/>
    </row>
    <row r="813" spans="1:43" ht="14">
      <c r="A813" s="9" t="s">
        <v>5</v>
      </c>
      <c r="B813" s="4" t="s">
        <v>398</v>
      </c>
      <c r="C813" s="21" t="s">
        <v>1972</v>
      </c>
      <c r="D813" s="21" t="s">
        <v>962</v>
      </c>
      <c r="E813" s="4">
        <v>56961498626</v>
      </c>
      <c r="F813" s="89" t="s">
        <v>71</v>
      </c>
      <c r="G813" s="32">
        <v>46028</v>
      </c>
      <c r="H813" s="9" t="s">
        <v>856</v>
      </c>
      <c r="I813" s="4" t="s">
        <v>459</v>
      </c>
      <c r="K813" s="67" t="b">
        <v>1</v>
      </c>
      <c r="S813" s="4"/>
      <c r="T813" s="18"/>
      <c r="U813" s="9"/>
      <c r="V813" s="21"/>
      <c r="W813" s="21"/>
      <c r="X813" s="4"/>
      <c r="Y813" s="89"/>
      <c r="Z813" s="32"/>
      <c r="AA813" s="9"/>
      <c r="AB813" s="4"/>
      <c r="AD813" s="67"/>
      <c r="AL813" s="4"/>
      <c r="AM813" s="18"/>
      <c r="AN813" s="6"/>
      <c r="AO813" s="7"/>
      <c r="AP813" s="4"/>
      <c r="AQ813" s="8"/>
    </row>
    <row r="814" spans="1:43" ht="14">
      <c r="A814" s="9" t="s">
        <v>5</v>
      </c>
      <c r="B814" s="4" t="s">
        <v>119</v>
      </c>
      <c r="C814" s="21" t="s">
        <v>1973</v>
      </c>
      <c r="D814" s="21" t="s">
        <v>1974</v>
      </c>
      <c r="E814" s="4">
        <v>522283413906</v>
      </c>
      <c r="F814" s="89" t="s">
        <v>292</v>
      </c>
      <c r="G814" s="32">
        <v>46029</v>
      </c>
      <c r="H814" s="9" t="s">
        <v>856</v>
      </c>
      <c r="I814" s="4" t="s">
        <v>459</v>
      </c>
      <c r="K814" s="67" t="b">
        <v>1</v>
      </c>
      <c r="N814" s="67" t="b">
        <v>1</v>
      </c>
      <c r="S814" s="4"/>
      <c r="T814" s="18"/>
      <c r="U814" s="9"/>
      <c r="V814" s="21"/>
      <c r="W814" s="21"/>
      <c r="X814" s="4"/>
      <c r="Y814" s="89"/>
      <c r="Z814" s="32"/>
      <c r="AA814" s="9"/>
      <c r="AB814" s="4"/>
      <c r="AD814" s="67"/>
      <c r="AL814" s="4"/>
      <c r="AM814" s="18"/>
      <c r="AN814" s="6"/>
      <c r="AO814" s="7"/>
      <c r="AP814" s="4"/>
      <c r="AQ814" s="8"/>
    </row>
    <row r="815" spans="1:43" ht="14">
      <c r="A815" s="9" t="s">
        <v>5</v>
      </c>
      <c r="B815" s="4" t="s">
        <v>398</v>
      </c>
      <c r="C815" s="21" t="s">
        <v>313</v>
      </c>
      <c r="D815" s="21" t="s">
        <v>273</v>
      </c>
      <c r="E815" s="4">
        <v>34722331372</v>
      </c>
      <c r="F815" s="89" t="s">
        <v>1457</v>
      </c>
      <c r="G815" s="32">
        <v>46029</v>
      </c>
      <c r="H815" s="9" t="s">
        <v>856</v>
      </c>
      <c r="I815" s="4" t="s">
        <v>448</v>
      </c>
      <c r="K815" s="67" t="b">
        <v>1</v>
      </c>
      <c r="S815" s="4" t="s">
        <v>119</v>
      </c>
      <c r="T815" s="18">
        <v>46034</v>
      </c>
      <c r="U815" s="34">
        <v>150</v>
      </c>
      <c r="V815" s="62">
        <v>0</v>
      </c>
      <c r="W815" s="62">
        <v>1</v>
      </c>
      <c r="X815" s="8">
        <v>46054</v>
      </c>
      <c r="Y815" s="89"/>
      <c r="Z815" s="32"/>
      <c r="AA815" s="9"/>
      <c r="AB815" s="4"/>
      <c r="AD815" s="67"/>
      <c r="AL815" s="4"/>
      <c r="AM815" s="18"/>
      <c r="AN815" s="6"/>
      <c r="AO815" s="7"/>
      <c r="AP815" s="4"/>
      <c r="AQ815" s="8"/>
    </row>
    <row r="816" spans="1:43" ht="14">
      <c r="A816" s="9" t="s">
        <v>5</v>
      </c>
      <c r="B816" s="4" t="s">
        <v>119</v>
      </c>
      <c r="C816" s="21" t="s">
        <v>1975</v>
      </c>
      <c r="D816" s="21" t="s">
        <v>1976</v>
      </c>
      <c r="E816" s="4">
        <v>51980964205</v>
      </c>
      <c r="F816" s="89" t="s">
        <v>902</v>
      </c>
      <c r="G816" s="32">
        <v>46029</v>
      </c>
      <c r="H816" s="9" t="s">
        <v>856</v>
      </c>
      <c r="I816" s="4" t="s">
        <v>459</v>
      </c>
      <c r="K816" s="67" t="b">
        <v>1</v>
      </c>
      <c r="N816" s="67" t="b">
        <v>1</v>
      </c>
      <c r="S816" s="4"/>
      <c r="T816" s="18"/>
      <c r="U816" s="9"/>
      <c r="V816" s="21"/>
      <c r="W816" s="21"/>
      <c r="X816" s="4"/>
      <c r="Y816" s="89"/>
      <c r="Z816" s="32"/>
      <c r="AA816" s="9"/>
      <c r="AB816" s="4"/>
      <c r="AD816" s="67"/>
      <c r="AL816" s="4"/>
      <c r="AM816" s="18"/>
      <c r="AN816" s="6"/>
      <c r="AO816" s="7"/>
      <c r="AP816" s="4"/>
      <c r="AQ816" s="8"/>
    </row>
    <row r="817" spans="1:43" ht="14">
      <c r="A817" s="9" t="s">
        <v>5</v>
      </c>
      <c r="B817" s="4" t="s">
        <v>398</v>
      </c>
      <c r="C817" s="21" t="s">
        <v>1977</v>
      </c>
      <c r="D817" s="21" t="s">
        <v>1978</v>
      </c>
      <c r="E817" s="4">
        <v>527354962481</v>
      </c>
      <c r="F817" s="89" t="s">
        <v>27</v>
      </c>
      <c r="G817" s="32">
        <v>46029</v>
      </c>
      <c r="H817" s="9" t="s">
        <v>856</v>
      </c>
      <c r="I817" s="4" t="s">
        <v>459</v>
      </c>
      <c r="K817" s="67" t="b">
        <v>1</v>
      </c>
      <c r="S817" s="4"/>
      <c r="T817" s="18"/>
      <c r="U817" s="9"/>
      <c r="V817" s="21"/>
      <c r="W817" s="21"/>
      <c r="X817" s="4"/>
      <c r="Y817" s="89"/>
      <c r="Z817" s="32"/>
      <c r="AA817" s="9"/>
      <c r="AB817" s="4"/>
      <c r="AD817" s="67"/>
      <c r="AG817" s="67"/>
      <c r="AL817" s="4"/>
      <c r="AM817" s="18"/>
      <c r="AN817" s="6"/>
      <c r="AO817" s="7"/>
      <c r="AP817" s="4"/>
      <c r="AQ817" s="8"/>
    </row>
    <row r="818" spans="1:43" ht="14">
      <c r="A818" s="9" t="s">
        <v>5</v>
      </c>
      <c r="B818" s="4" t="s">
        <v>119</v>
      </c>
      <c r="C818" s="21" t="s">
        <v>1979</v>
      </c>
      <c r="D818" s="21" t="s">
        <v>1980</v>
      </c>
      <c r="E818" s="4">
        <v>34652525941</v>
      </c>
      <c r="F818" s="89" t="s">
        <v>11</v>
      </c>
      <c r="G818" s="32">
        <v>46029</v>
      </c>
      <c r="H818" s="9" t="s">
        <v>856</v>
      </c>
      <c r="I818" s="4" t="s">
        <v>459</v>
      </c>
      <c r="K818" s="67" t="b">
        <v>1</v>
      </c>
      <c r="M818" s="68" t="b">
        <v>1</v>
      </c>
      <c r="N818" s="67" t="b">
        <v>1</v>
      </c>
      <c r="S818" s="4"/>
      <c r="T818" s="18"/>
      <c r="U818" s="9"/>
      <c r="V818" s="21"/>
      <c r="W818" s="21"/>
      <c r="X818" s="4"/>
      <c r="Y818" s="89"/>
      <c r="Z818" s="32"/>
      <c r="AA818" s="9"/>
      <c r="AB818" s="4"/>
      <c r="AD818" s="67"/>
      <c r="AL818" s="4"/>
      <c r="AM818" s="18"/>
      <c r="AN818" s="6"/>
      <c r="AO818" s="7"/>
      <c r="AP818" s="4"/>
      <c r="AQ818" s="8"/>
    </row>
    <row r="819" spans="1:43" ht="14">
      <c r="A819" s="9" t="s">
        <v>5</v>
      </c>
      <c r="B819" s="4" t="s">
        <v>398</v>
      </c>
      <c r="C819" s="38" t="s">
        <v>262</v>
      </c>
      <c r="D819" s="38" t="s">
        <v>262</v>
      </c>
      <c r="F819" s="39" t="s">
        <v>44</v>
      </c>
      <c r="G819" s="32">
        <v>46029</v>
      </c>
      <c r="H819" s="9" t="s">
        <v>956</v>
      </c>
      <c r="I819" s="4" t="s">
        <v>448</v>
      </c>
      <c r="J819" s="4"/>
      <c r="K819" s="67" t="b">
        <v>1</v>
      </c>
      <c r="L819" s="4"/>
      <c r="M819" s="4"/>
      <c r="N819" s="4"/>
      <c r="O819" s="4"/>
      <c r="P819" s="4"/>
      <c r="Q819" s="4"/>
      <c r="R819" s="4"/>
      <c r="S819" s="4" t="s">
        <v>119</v>
      </c>
      <c r="T819" s="33">
        <v>46029</v>
      </c>
      <c r="U819" s="34">
        <v>145</v>
      </c>
      <c r="V819" s="21">
        <v>0</v>
      </c>
      <c r="W819" s="21">
        <v>1</v>
      </c>
      <c r="X819" s="8">
        <v>46023</v>
      </c>
      <c r="Y819" s="89"/>
      <c r="Z819" s="32"/>
      <c r="AA819" s="9"/>
      <c r="AB819" s="4"/>
      <c r="AD819" s="67"/>
      <c r="AL819" s="4"/>
      <c r="AM819" s="18"/>
      <c r="AN819" s="6"/>
      <c r="AO819" s="7"/>
      <c r="AP819" s="4"/>
      <c r="AQ819" s="8"/>
    </row>
    <row r="820" spans="1:43" ht="14">
      <c r="A820" s="9" t="s">
        <v>5</v>
      </c>
      <c r="B820" s="4" t="s">
        <v>119</v>
      </c>
      <c r="C820" s="21" t="s">
        <v>1981</v>
      </c>
      <c r="D820" s="21" t="s">
        <v>272</v>
      </c>
      <c r="E820" s="4">
        <v>56985029987</v>
      </c>
      <c r="F820" s="37" t="s">
        <v>70</v>
      </c>
      <c r="G820" s="32">
        <v>46030</v>
      </c>
      <c r="H820" s="9" t="s">
        <v>856</v>
      </c>
      <c r="I820" s="4" t="s">
        <v>448</v>
      </c>
      <c r="K820" s="67" t="b">
        <v>1</v>
      </c>
      <c r="N820" s="67"/>
      <c r="S820" s="4" t="s">
        <v>119</v>
      </c>
      <c r="T820" s="33">
        <v>46032</v>
      </c>
      <c r="U820" s="34">
        <v>125</v>
      </c>
      <c r="V820" s="90">
        <v>0.5</v>
      </c>
      <c r="W820" s="62">
        <v>1</v>
      </c>
      <c r="X820" s="8">
        <v>46023</v>
      </c>
      <c r="Y820" s="89"/>
      <c r="Z820" s="32"/>
      <c r="AA820" s="9"/>
      <c r="AB820" s="4"/>
      <c r="AD820" s="67"/>
      <c r="AL820" s="4"/>
      <c r="AM820" s="18"/>
      <c r="AN820" s="6"/>
      <c r="AO820" s="7"/>
      <c r="AP820" s="4"/>
      <c r="AQ820" s="8"/>
    </row>
    <row r="821" spans="1:43" ht="14">
      <c r="A821" s="9" t="s">
        <v>5</v>
      </c>
      <c r="B821" s="4" t="s">
        <v>398</v>
      </c>
      <c r="C821" s="21" t="s">
        <v>1982</v>
      </c>
      <c r="D821" s="21" t="s">
        <v>1983</v>
      </c>
      <c r="E821" s="4">
        <v>34696646426</v>
      </c>
      <c r="F821" s="37" t="s">
        <v>8</v>
      </c>
      <c r="G821" s="32">
        <v>46030</v>
      </c>
      <c r="H821" s="9" t="s">
        <v>856</v>
      </c>
      <c r="I821" s="4" t="s">
        <v>459</v>
      </c>
      <c r="K821" s="67" t="b">
        <v>1</v>
      </c>
      <c r="S821" s="4"/>
      <c r="T821" s="33"/>
      <c r="U821" s="9"/>
      <c r="V821" s="21"/>
      <c r="W821" s="21"/>
      <c r="X821" s="4"/>
      <c r="Y821" s="89"/>
      <c r="Z821" s="32"/>
      <c r="AA821" s="9"/>
      <c r="AB821" s="4"/>
      <c r="AD821" s="67"/>
      <c r="AL821" s="4"/>
      <c r="AM821" s="18"/>
      <c r="AN821" s="6"/>
      <c r="AO821" s="7"/>
      <c r="AP821" s="4"/>
      <c r="AQ821" s="8"/>
    </row>
    <row r="822" spans="1:43" ht="14">
      <c r="A822" s="9" t="s">
        <v>5</v>
      </c>
      <c r="B822" s="4" t="s">
        <v>119</v>
      </c>
      <c r="C822" s="4" t="s">
        <v>1984</v>
      </c>
      <c r="E822" s="4" t="s">
        <v>1985</v>
      </c>
      <c r="F822" s="37" t="s">
        <v>8</v>
      </c>
      <c r="G822" s="32">
        <v>46030</v>
      </c>
      <c r="H822" s="9" t="s">
        <v>956</v>
      </c>
      <c r="I822" s="4" t="s">
        <v>459</v>
      </c>
      <c r="J822" s="68" t="b">
        <v>1</v>
      </c>
      <c r="K822" s="67" t="b">
        <v>1</v>
      </c>
      <c r="L822" s="4"/>
      <c r="M822" s="4"/>
      <c r="N822" s="67" t="b">
        <v>1</v>
      </c>
      <c r="O822" s="4"/>
      <c r="P822" s="4"/>
      <c r="Q822" s="4"/>
      <c r="R822" s="4"/>
      <c r="S822" s="8"/>
      <c r="U822" s="9"/>
      <c r="V822" s="21"/>
      <c r="W822" s="21"/>
      <c r="X822" s="4"/>
      <c r="Y822" s="89"/>
      <c r="Z822" s="32"/>
      <c r="AA822" s="9"/>
      <c r="AB822" s="4"/>
      <c r="AD822" s="67"/>
      <c r="AL822" s="4"/>
      <c r="AM822" s="18"/>
      <c r="AN822" s="6"/>
      <c r="AO822" s="7"/>
      <c r="AP822" s="4"/>
      <c r="AQ822" s="8"/>
    </row>
    <row r="823" spans="1:43" ht="14">
      <c r="A823" s="9" t="s">
        <v>5</v>
      </c>
      <c r="B823" s="4" t="s">
        <v>398</v>
      </c>
      <c r="C823" s="4" t="s">
        <v>1986</v>
      </c>
      <c r="D823" s="4" t="s">
        <v>1987</v>
      </c>
      <c r="E823" s="4">
        <v>56978871461</v>
      </c>
      <c r="F823" s="37" t="s">
        <v>284</v>
      </c>
      <c r="G823" s="32">
        <v>46030</v>
      </c>
      <c r="H823" s="9" t="s">
        <v>856</v>
      </c>
      <c r="I823" s="4" t="s">
        <v>459</v>
      </c>
      <c r="J823" s="68" t="b">
        <v>0</v>
      </c>
      <c r="K823" s="67" t="b">
        <v>1</v>
      </c>
      <c r="S823" s="8"/>
      <c r="U823" s="9"/>
      <c r="V823" s="21"/>
      <c r="W823" s="21"/>
      <c r="X823" s="4"/>
      <c r="Y823" s="89"/>
      <c r="Z823" s="32"/>
      <c r="AA823" s="9"/>
      <c r="AB823" s="4"/>
      <c r="AD823" s="67"/>
      <c r="AL823" s="4"/>
      <c r="AM823" s="18"/>
      <c r="AN823" s="6"/>
      <c r="AO823" s="7"/>
      <c r="AP823" s="4"/>
      <c r="AQ823" s="8"/>
    </row>
    <row r="824" spans="1:43" ht="14">
      <c r="A824" s="9" t="s">
        <v>5</v>
      </c>
      <c r="B824" s="4" t="s">
        <v>119</v>
      </c>
      <c r="C824" s="4" t="s">
        <v>1988</v>
      </c>
      <c r="E824" s="4" t="s">
        <v>326</v>
      </c>
      <c r="F824" s="60" t="s">
        <v>327</v>
      </c>
      <c r="G824" s="32">
        <v>46030</v>
      </c>
      <c r="H824" s="9" t="s">
        <v>979</v>
      </c>
      <c r="I824" s="4" t="s">
        <v>448</v>
      </c>
      <c r="J824" s="4"/>
      <c r="K824" s="67" t="b">
        <v>1</v>
      </c>
      <c r="L824" s="4"/>
      <c r="M824" s="4"/>
      <c r="N824" s="67" t="b">
        <v>1</v>
      </c>
      <c r="O824" s="4"/>
      <c r="P824" s="4"/>
      <c r="Q824" s="4"/>
      <c r="R824" s="4"/>
      <c r="S824" s="4" t="s">
        <v>119</v>
      </c>
      <c r="T824" s="33">
        <v>46112</v>
      </c>
      <c r="U824" s="34">
        <v>175</v>
      </c>
      <c r="V824" s="90">
        <v>0.3</v>
      </c>
      <c r="W824" s="62">
        <v>3</v>
      </c>
      <c r="X824" s="8">
        <v>46082</v>
      </c>
      <c r="Y824" s="89"/>
      <c r="Z824" s="32"/>
      <c r="AA824" s="9"/>
      <c r="AB824" s="4"/>
      <c r="AD824" s="67"/>
      <c r="AL824" s="4"/>
      <c r="AM824" s="18"/>
      <c r="AN824" s="6"/>
      <c r="AO824" s="7"/>
      <c r="AP824" s="4"/>
      <c r="AQ824" s="8"/>
    </row>
    <row r="825" spans="1:43" ht="14">
      <c r="A825" s="4" t="s">
        <v>5</v>
      </c>
      <c r="B825" s="4" t="s">
        <v>398</v>
      </c>
      <c r="C825" s="4" t="s">
        <v>1989</v>
      </c>
      <c r="D825" s="4" t="s">
        <v>265</v>
      </c>
      <c r="E825" s="4">
        <v>34677686282</v>
      </c>
      <c r="F825" s="37" t="s">
        <v>8</v>
      </c>
      <c r="G825" s="32">
        <v>46030</v>
      </c>
      <c r="H825" s="9" t="s">
        <v>856</v>
      </c>
      <c r="I825" s="4" t="s">
        <v>448</v>
      </c>
      <c r="K825" s="67" t="b">
        <v>1</v>
      </c>
      <c r="N825" s="67" t="b">
        <v>1</v>
      </c>
      <c r="S825" s="4" t="s">
        <v>119</v>
      </c>
      <c r="T825" s="33">
        <v>46031</v>
      </c>
      <c r="U825" s="34">
        <v>209</v>
      </c>
      <c r="V825" s="90">
        <v>0.3</v>
      </c>
      <c r="W825" s="41">
        <v>1</v>
      </c>
      <c r="X825" s="8">
        <v>46023</v>
      </c>
      <c r="Y825" s="39"/>
      <c r="Z825" s="32"/>
      <c r="AA825" s="9"/>
      <c r="AB825" s="4"/>
      <c r="AD825" s="67"/>
      <c r="AL825" s="4"/>
      <c r="AM825" s="33"/>
      <c r="AN825" s="6"/>
      <c r="AO825" s="4"/>
      <c r="AP825" s="4"/>
      <c r="AQ825" s="8"/>
    </row>
    <row r="826" spans="1:43" ht="14">
      <c r="A826" s="4" t="s">
        <v>240</v>
      </c>
      <c r="B826" s="4" t="s">
        <v>119</v>
      </c>
      <c r="C826" s="4" t="s">
        <v>1990</v>
      </c>
      <c r="E826" s="4" t="s">
        <v>1991</v>
      </c>
      <c r="F826" s="4" t="s">
        <v>336</v>
      </c>
      <c r="G826" s="32">
        <v>46030</v>
      </c>
      <c r="H826" s="9" t="s">
        <v>956</v>
      </c>
      <c r="I826" s="4" t="s">
        <v>941</v>
      </c>
      <c r="J826" s="68" t="b">
        <v>1</v>
      </c>
      <c r="K826" s="67" t="b">
        <v>1</v>
      </c>
      <c r="L826" s="4"/>
      <c r="M826" s="4"/>
      <c r="N826" s="67" t="b">
        <v>1</v>
      </c>
      <c r="O826" s="4"/>
      <c r="P826" s="4"/>
      <c r="Q826" s="4"/>
      <c r="R826" s="4"/>
      <c r="S826" s="8"/>
      <c r="U826" s="9"/>
      <c r="V826" s="21"/>
      <c r="W826" s="21"/>
      <c r="Y826" s="37"/>
      <c r="Z826" s="32"/>
      <c r="AA826" s="9"/>
      <c r="AB826" s="4"/>
      <c r="AD826" s="67"/>
      <c r="AL826" s="4"/>
      <c r="AM826" s="33"/>
      <c r="AN826" s="6"/>
      <c r="AO826" s="4"/>
      <c r="AP826" s="4"/>
      <c r="AQ826" s="8"/>
    </row>
    <row r="827" spans="1:43" ht="14">
      <c r="A827" s="4" t="s">
        <v>5</v>
      </c>
      <c r="B827" s="4" t="s">
        <v>398</v>
      </c>
      <c r="C827" s="4" t="s">
        <v>1992</v>
      </c>
      <c r="D827" s="4" t="s">
        <v>1993</v>
      </c>
      <c r="E827" s="4">
        <v>56996161191</v>
      </c>
      <c r="F827" s="4" t="s">
        <v>83</v>
      </c>
      <c r="G827" s="32">
        <v>46030</v>
      </c>
      <c r="H827" s="9" t="s">
        <v>856</v>
      </c>
      <c r="I827" s="4" t="s">
        <v>459</v>
      </c>
      <c r="J827" s="68" t="b">
        <v>0</v>
      </c>
      <c r="K827" s="67" t="b">
        <v>1</v>
      </c>
      <c r="S827" s="8"/>
      <c r="U827" s="9"/>
      <c r="V827" s="21"/>
      <c r="W827" s="21"/>
      <c r="Y827" s="37"/>
      <c r="Z827" s="32"/>
      <c r="AA827" s="9"/>
      <c r="AB827" s="4"/>
      <c r="AD827" s="67"/>
      <c r="AL827" s="4"/>
      <c r="AM827" s="33"/>
      <c r="AN827" s="6"/>
      <c r="AO827" s="4"/>
      <c r="AP827" s="4"/>
      <c r="AQ827" s="8"/>
    </row>
    <row r="828" spans="1:43" ht="12.5">
      <c r="A828" s="4" t="s">
        <v>381</v>
      </c>
      <c r="B828" s="4" t="s">
        <v>119</v>
      </c>
      <c r="C828" s="4" t="s">
        <v>1994</v>
      </c>
      <c r="D828" s="4" t="s">
        <v>1995</v>
      </c>
      <c r="E828" s="4">
        <v>34626792992</v>
      </c>
      <c r="F828" s="4" t="s">
        <v>1996</v>
      </c>
      <c r="G828" s="32">
        <v>46030</v>
      </c>
      <c r="H828" s="9" t="s">
        <v>856</v>
      </c>
      <c r="I828" s="4" t="s">
        <v>459</v>
      </c>
      <c r="J828" s="68" t="b">
        <v>0</v>
      </c>
      <c r="K828" s="67" t="b">
        <v>1</v>
      </c>
      <c r="M828" s="68" t="b">
        <v>1</v>
      </c>
      <c r="N828" s="67" t="b">
        <v>1</v>
      </c>
      <c r="S828" s="8"/>
      <c r="U828" s="9"/>
      <c r="V828" s="4"/>
      <c r="X828" s="4"/>
      <c r="Y828" s="37"/>
      <c r="Z828" s="32"/>
      <c r="AA828" s="9"/>
      <c r="AB828" s="4"/>
      <c r="AC828" s="68"/>
      <c r="AD828" s="67"/>
      <c r="AL828" s="8"/>
    </row>
    <row r="829" spans="1:43" ht="12.5">
      <c r="A829" s="4" t="s">
        <v>5</v>
      </c>
      <c r="B829" s="4" t="s">
        <v>398</v>
      </c>
      <c r="C829" s="4" t="s">
        <v>1997</v>
      </c>
      <c r="D829" s="4" t="s">
        <v>1998</v>
      </c>
      <c r="E829" s="4">
        <v>1.16802E+17</v>
      </c>
      <c r="F829" s="4" t="s">
        <v>8</v>
      </c>
      <c r="G829" s="32">
        <v>46030</v>
      </c>
      <c r="H829" s="9" t="s">
        <v>856</v>
      </c>
      <c r="I829" s="4" t="s">
        <v>459</v>
      </c>
      <c r="J829" s="68" t="b">
        <v>0</v>
      </c>
      <c r="K829" s="67" t="b">
        <v>1</v>
      </c>
      <c r="S829" s="8"/>
      <c r="U829" s="9"/>
      <c r="V829" s="4"/>
      <c r="W829" s="4"/>
      <c r="X829" s="4"/>
      <c r="Y829" s="37"/>
      <c r="Z829" s="32"/>
      <c r="AA829" s="9"/>
      <c r="AB829" s="4"/>
      <c r="AC829" s="68"/>
      <c r="AD829" s="67"/>
      <c r="AL829" s="8"/>
    </row>
    <row r="830" spans="1:43" ht="12.5">
      <c r="A830" s="4" t="s">
        <v>5</v>
      </c>
      <c r="B830" s="4" t="s">
        <v>119</v>
      </c>
      <c r="C830" s="4" t="s">
        <v>1999</v>
      </c>
      <c r="D830" s="4" t="s">
        <v>2000</v>
      </c>
      <c r="E830" s="4">
        <v>34645680889</v>
      </c>
      <c r="F830" s="4" t="s">
        <v>82</v>
      </c>
      <c r="G830" s="32">
        <v>46031</v>
      </c>
      <c r="H830" s="9" t="s">
        <v>856</v>
      </c>
      <c r="I830" s="4" t="s">
        <v>459</v>
      </c>
      <c r="J830" s="68" t="b">
        <v>0</v>
      </c>
      <c r="K830" s="67" t="b">
        <v>0</v>
      </c>
      <c r="M830" s="68" t="b">
        <v>1</v>
      </c>
      <c r="N830" s="67" t="b">
        <v>1</v>
      </c>
      <c r="S830" s="8"/>
      <c r="U830" s="9"/>
      <c r="V830" s="4"/>
      <c r="X830" s="4"/>
      <c r="Y830" s="37"/>
      <c r="Z830" s="32"/>
      <c r="AA830" s="9"/>
      <c r="AB830" s="4"/>
      <c r="AD830" s="67"/>
      <c r="AL830" s="8"/>
    </row>
    <row r="831" spans="1:43" ht="12.5">
      <c r="A831" s="4" t="s">
        <v>5</v>
      </c>
      <c r="B831" s="4" t="s">
        <v>398</v>
      </c>
      <c r="C831" s="4" t="s">
        <v>2001</v>
      </c>
      <c r="D831" s="4" t="s">
        <v>2002</v>
      </c>
      <c r="E831" s="4">
        <v>34634270200</v>
      </c>
      <c r="F831" s="4" t="s">
        <v>332</v>
      </c>
      <c r="G831" s="32">
        <v>46031</v>
      </c>
      <c r="H831" s="9" t="s">
        <v>856</v>
      </c>
      <c r="I831" s="4" t="s">
        <v>459</v>
      </c>
      <c r="J831" s="68" t="b">
        <v>0</v>
      </c>
      <c r="K831" s="67" t="b">
        <v>0</v>
      </c>
      <c r="S831" s="8"/>
      <c r="U831" s="4"/>
      <c r="V831" s="4"/>
      <c r="W831" s="4"/>
      <c r="X831" s="4"/>
      <c r="Y831" s="37"/>
      <c r="Z831" s="32"/>
      <c r="AA831" s="9"/>
      <c r="AB831" s="4"/>
      <c r="AD831" s="67"/>
      <c r="AG831" s="67"/>
      <c r="AL831" s="4"/>
      <c r="AM831" s="33"/>
      <c r="AN831" s="2"/>
      <c r="AO831" s="7"/>
      <c r="AP831" s="4"/>
      <c r="AQ831" s="8"/>
    </row>
    <row r="832" spans="1:43" ht="12.5">
      <c r="A832" s="4" t="s">
        <v>5</v>
      </c>
      <c r="B832" s="4" t="s">
        <v>119</v>
      </c>
      <c r="C832" s="4" t="s">
        <v>2003</v>
      </c>
      <c r="D832" s="4" t="s">
        <v>2004</v>
      </c>
      <c r="E832" s="4">
        <v>573016114124</v>
      </c>
      <c r="F832" s="4" t="s">
        <v>2005</v>
      </c>
      <c r="G832" s="32">
        <v>46031</v>
      </c>
      <c r="H832" s="9" t="s">
        <v>856</v>
      </c>
      <c r="I832" s="4" t="s">
        <v>459</v>
      </c>
      <c r="J832" s="68" t="b">
        <v>0</v>
      </c>
      <c r="K832" s="67" t="b">
        <v>1</v>
      </c>
      <c r="N832" s="67" t="b">
        <v>1</v>
      </c>
      <c r="S832" s="8"/>
      <c r="U832" s="4"/>
      <c r="V832" s="4"/>
      <c r="X832" s="4"/>
      <c r="Y832" s="4"/>
      <c r="Z832" s="32"/>
      <c r="AA832" s="9"/>
      <c r="AB832" s="4"/>
      <c r="AC832" s="68"/>
      <c r="AD832" s="67"/>
      <c r="AL832" s="8"/>
    </row>
    <row r="833" spans="1:38" ht="12.5">
      <c r="A833" s="4" t="s">
        <v>5</v>
      </c>
      <c r="B833" s="4" t="s">
        <v>398</v>
      </c>
      <c r="C833" s="4" t="s">
        <v>2006</v>
      </c>
      <c r="D833" s="4" t="s">
        <v>2007</v>
      </c>
      <c r="E833" s="4">
        <v>34602181565</v>
      </c>
      <c r="F833" s="4" t="s">
        <v>2008</v>
      </c>
      <c r="G833" s="32">
        <v>46033</v>
      </c>
      <c r="H833" s="9" t="s">
        <v>856</v>
      </c>
      <c r="I833" s="4" t="s">
        <v>459</v>
      </c>
      <c r="J833" s="68" t="b">
        <v>1</v>
      </c>
      <c r="K833" s="67" t="b">
        <v>1</v>
      </c>
      <c r="S833" s="8"/>
      <c r="U833" s="4"/>
      <c r="V833" s="4"/>
      <c r="W833" s="4"/>
      <c r="X833" s="4"/>
      <c r="Y833" s="4"/>
      <c r="Z833" s="32"/>
      <c r="AA833" s="9"/>
      <c r="AB833" s="4"/>
      <c r="AC833" s="68"/>
      <c r="AD833" s="67"/>
      <c r="AL833" s="8"/>
    </row>
    <row r="834" spans="1:38" ht="12.5">
      <c r="A834" s="4" t="s">
        <v>240</v>
      </c>
      <c r="B834" s="4" t="s">
        <v>119</v>
      </c>
      <c r="C834" s="4" t="s">
        <v>2009</v>
      </c>
      <c r="E834" s="4">
        <v>34602181565</v>
      </c>
      <c r="F834" s="4" t="s">
        <v>2010</v>
      </c>
      <c r="G834" s="32">
        <v>46034</v>
      </c>
      <c r="H834" s="9" t="s">
        <v>856</v>
      </c>
      <c r="I834" s="4" t="s">
        <v>459</v>
      </c>
      <c r="J834" s="4"/>
      <c r="K834" s="67" t="b">
        <v>1</v>
      </c>
      <c r="L834" s="4"/>
      <c r="M834" s="4"/>
      <c r="N834" s="67" t="b">
        <v>1</v>
      </c>
      <c r="O834" s="4"/>
      <c r="P834" s="4"/>
      <c r="Q834" s="4"/>
      <c r="R834" s="4"/>
      <c r="S834" s="8"/>
      <c r="U834" s="4"/>
      <c r="V834" s="4"/>
      <c r="W834" s="4"/>
      <c r="X834" s="4"/>
      <c r="Y834" s="4"/>
      <c r="Z834" s="32"/>
      <c r="AA834" s="9"/>
      <c r="AB834" s="4"/>
      <c r="AC834" s="68"/>
      <c r="AD834" s="67"/>
      <c r="AL834" s="8"/>
    </row>
    <row r="835" spans="1:38" ht="12.5">
      <c r="A835" s="4" t="s">
        <v>5</v>
      </c>
      <c r="B835" s="4" t="s">
        <v>398</v>
      </c>
      <c r="C835" s="4" t="s">
        <v>2011</v>
      </c>
      <c r="D835" s="4" t="s">
        <v>2012</v>
      </c>
      <c r="E835" s="4">
        <v>529993223045</v>
      </c>
      <c r="F835" s="4" t="s">
        <v>27</v>
      </c>
      <c r="G835" s="32">
        <v>46034</v>
      </c>
      <c r="H835" s="4" t="s">
        <v>856</v>
      </c>
      <c r="I835" s="4" t="s">
        <v>459</v>
      </c>
      <c r="K835" s="67" t="b">
        <v>1</v>
      </c>
      <c r="S835" s="8"/>
      <c r="U835" s="4"/>
      <c r="V835" s="4"/>
      <c r="W835" s="4"/>
      <c r="X835" s="4"/>
      <c r="Y835" s="4"/>
      <c r="Z835" s="32"/>
      <c r="AA835" s="9"/>
      <c r="AB835" s="4"/>
      <c r="AC835" s="68"/>
      <c r="AD835" s="67"/>
      <c r="AL835" s="8"/>
    </row>
    <row r="836" spans="1:38" ht="12.5">
      <c r="A836" s="4" t="s">
        <v>5</v>
      </c>
      <c r="B836" s="4" t="s">
        <v>119</v>
      </c>
      <c r="C836" s="4" t="s">
        <v>2013</v>
      </c>
      <c r="E836" s="4">
        <v>5491138847791</v>
      </c>
      <c r="G836" s="32">
        <v>46034</v>
      </c>
      <c r="H836" s="9" t="s">
        <v>979</v>
      </c>
      <c r="I836" s="4" t="s">
        <v>459</v>
      </c>
      <c r="J836" s="4"/>
      <c r="K836" s="67" t="b">
        <v>1</v>
      </c>
      <c r="L836" s="4"/>
      <c r="M836" s="4"/>
      <c r="N836" s="4"/>
      <c r="O836" s="4"/>
      <c r="P836" s="4"/>
      <c r="Q836" s="4"/>
      <c r="R836" s="4"/>
      <c r="S836" s="8"/>
      <c r="U836" s="4"/>
      <c r="V836" s="4"/>
      <c r="W836" s="4"/>
      <c r="X836" s="4"/>
      <c r="Y836" s="4"/>
      <c r="Z836" s="32"/>
      <c r="AA836" s="9"/>
      <c r="AB836" s="4"/>
      <c r="AC836" s="68"/>
      <c r="AD836" s="67"/>
      <c r="AL836" s="8"/>
    </row>
    <row r="837" spans="1:38" ht="12.5">
      <c r="A837" s="4" t="s">
        <v>5</v>
      </c>
      <c r="B837" s="4" t="s">
        <v>398</v>
      </c>
      <c r="C837" s="4" t="s">
        <v>2014</v>
      </c>
      <c r="D837" s="4" t="s">
        <v>2015</v>
      </c>
      <c r="E837" s="4">
        <v>573125313569</v>
      </c>
      <c r="F837" s="4" t="s">
        <v>1188</v>
      </c>
      <c r="G837" s="32">
        <v>46034</v>
      </c>
      <c r="H837" s="9" t="s">
        <v>856</v>
      </c>
      <c r="I837" s="4" t="s">
        <v>459</v>
      </c>
      <c r="K837" s="67" t="b">
        <v>1</v>
      </c>
      <c r="S837" s="8"/>
      <c r="U837" s="4"/>
      <c r="V837" s="4"/>
      <c r="W837" s="4"/>
      <c r="X837" s="4"/>
      <c r="Y837" s="4"/>
      <c r="Z837" s="32"/>
      <c r="AA837" s="9"/>
      <c r="AB837" s="4"/>
      <c r="AC837" s="68"/>
      <c r="AD837" s="67"/>
      <c r="AL837" s="8"/>
    </row>
    <row r="838" spans="1:38" ht="12.5">
      <c r="A838" s="4" t="s">
        <v>5</v>
      </c>
      <c r="B838" s="4" t="s">
        <v>119</v>
      </c>
      <c r="C838" s="4" t="s">
        <v>2016</v>
      </c>
      <c r="D838" s="4" t="s">
        <v>281</v>
      </c>
      <c r="E838" s="4">
        <v>34675346004</v>
      </c>
      <c r="F838" s="4" t="s">
        <v>8</v>
      </c>
      <c r="G838" s="32">
        <v>46035</v>
      </c>
      <c r="H838" s="9" t="s">
        <v>856</v>
      </c>
      <c r="I838" s="4" t="s">
        <v>448</v>
      </c>
      <c r="K838" s="67" t="b">
        <v>1</v>
      </c>
      <c r="S838" s="4" t="s">
        <v>119</v>
      </c>
      <c r="T838" s="33">
        <v>46044</v>
      </c>
      <c r="U838" s="6">
        <v>150</v>
      </c>
      <c r="V838" s="4">
        <v>0</v>
      </c>
      <c r="W838" s="4">
        <v>2</v>
      </c>
      <c r="X838" s="8">
        <v>46054</v>
      </c>
      <c r="Y838" s="4"/>
      <c r="Z838" s="32"/>
      <c r="AA838" s="9"/>
      <c r="AB838" s="4"/>
      <c r="AC838" s="68"/>
      <c r="AD838" s="67"/>
      <c r="AL838" s="8"/>
    </row>
    <row r="839" spans="1:38" ht="12.5">
      <c r="A839" s="4" t="s">
        <v>5</v>
      </c>
      <c r="B839" s="4" t="s">
        <v>398</v>
      </c>
      <c r="E839" s="4" t="s">
        <v>2017</v>
      </c>
      <c r="F839" s="4" t="s">
        <v>27</v>
      </c>
      <c r="G839" s="32">
        <v>46035</v>
      </c>
      <c r="H839" s="9" t="s">
        <v>979</v>
      </c>
      <c r="I839" s="4" t="s">
        <v>459</v>
      </c>
      <c r="J839" s="4"/>
      <c r="K839" s="67" t="b">
        <v>1</v>
      </c>
      <c r="L839" s="4"/>
      <c r="M839" s="4"/>
      <c r="N839" s="4"/>
      <c r="O839" s="4"/>
      <c r="P839" s="4"/>
      <c r="Q839" s="4"/>
      <c r="R839" s="4"/>
      <c r="S839" s="8"/>
      <c r="U839" s="4"/>
      <c r="V839" s="4"/>
      <c r="W839" s="4"/>
      <c r="X839" s="4"/>
      <c r="Y839" s="4"/>
      <c r="Z839" s="32"/>
      <c r="AA839" s="9"/>
      <c r="AB839" s="4"/>
      <c r="AC839" s="68"/>
      <c r="AD839" s="67"/>
      <c r="AL839" s="8"/>
    </row>
    <row r="840" spans="1:38" ht="12.5">
      <c r="A840" s="4" t="s">
        <v>5</v>
      </c>
      <c r="B840" s="4" t="s">
        <v>119</v>
      </c>
      <c r="C840" s="4" t="s">
        <v>2018</v>
      </c>
      <c r="D840" s="4" t="s">
        <v>2019</v>
      </c>
      <c r="E840" s="4">
        <v>34601152973</v>
      </c>
      <c r="F840" s="4" t="s">
        <v>233</v>
      </c>
      <c r="G840" s="32">
        <v>46035</v>
      </c>
      <c r="H840" s="9" t="s">
        <v>856</v>
      </c>
      <c r="I840" s="4" t="s">
        <v>459</v>
      </c>
      <c r="K840" s="67" t="b">
        <v>1</v>
      </c>
      <c r="M840" s="68" t="b">
        <v>1</v>
      </c>
      <c r="N840" s="67" t="b">
        <v>1</v>
      </c>
      <c r="S840" s="8"/>
      <c r="U840" s="4"/>
      <c r="V840" s="4"/>
      <c r="W840" s="4"/>
      <c r="X840" s="4"/>
      <c r="Y840" s="4"/>
      <c r="Z840" s="32"/>
      <c r="AA840" s="9"/>
      <c r="AB840" s="4"/>
      <c r="AC840" s="68"/>
      <c r="AD840" s="67"/>
      <c r="AL840" s="8"/>
    </row>
    <row r="841" spans="1:38" ht="12.5">
      <c r="A841" s="4" t="s">
        <v>5</v>
      </c>
      <c r="B841" s="4" t="s">
        <v>398</v>
      </c>
      <c r="E841" s="4" t="s">
        <v>2020</v>
      </c>
      <c r="F841" s="37" t="s">
        <v>70</v>
      </c>
      <c r="G841" s="32">
        <v>46035</v>
      </c>
      <c r="H841" s="9" t="s">
        <v>956</v>
      </c>
      <c r="I841" s="4" t="s">
        <v>459</v>
      </c>
      <c r="J841" s="4"/>
      <c r="K841" s="67" t="b">
        <v>1</v>
      </c>
      <c r="L841" s="4"/>
      <c r="M841" s="4"/>
      <c r="N841" s="4"/>
      <c r="O841" s="4"/>
      <c r="P841" s="4"/>
      <c r="Q841" s="4"/>
      <c r="R841" s="4"/>
      <c r="S841" s="8"/>
      <c r="U841" s="4"/>
      <c r="V841" s="4"/>
      <c r="W841" s="4"/>
      <c r="X841" s="4"/>
      <c r="Y841" s="4"/>
      <c r="Z841" s="32"/>
      <c r="AA841" s="9"/>
      <c r="AB841" s="4"/>
      <c r="AC841" s="68"/>
      <c r="AD841" s="67"/>
      <c r="AL841" s="8"/>
    </row>
    <row r="842" spans="1:38" ht="12.5">
      <c r="A842" s="4" t="s">
        <v>5</v>
      </c>
      <c r="B842" s="4" t="s">
        <v>119</v>
      </c>
      <c r="C842" s="4" t="s">
        <v>2021</v>
      </c>
      <c r="D842" s="4" t="s">
        <v>2022</v>
      </c>
      <c r="E842" s="4">
        <v>523313812175</v>
      </c>
      <c r="F842" s="37" t="s">
        <v>27</v>
      </c>
      <c r="G842" s="32">
        <v>46036</v>
      </c>
      <c r="H842" s="9" t="s">
        <v>856</v>
      </c>
      <c r="I842" s="4" t="s">
        <v>459</v>
      </c>
      <c r="J842" s="68"/>
      <c r="K842" s="67" t="b">
        <v>1</v>
      </c>
      <c r="M842" s="68" t="b">
        <v>1</v>
      </c>
      <c r="N842" s="67" t="b">
        <v>1</v>
      </c>
      <c r="S842" s="8"/>
      <c r="U842" s="4"/>
      <c r="V842" s="4"/>
      <c r="W842" s="4"/>
      <c r="X842" s="4"/>
      <c r="Y842" s="4"/>
      <c r="Z842" s="32"/>
      <c r="AA842" s="9"/>
      <c r="AB842" s="4"/>
      <c r="AC842" s="68"/>
      <c r="AD842" s="67"/>
      <c r="AL842" s="8"/>
    </row>
    <row r="843" spans="1:38" ht="12.5">
      <c r="A843" s="4" t="s">
        <v>5</v>
      </c>
      <c r="B843" s="4" t="s">
        <v>398</v>
      </c>
      <c r="C843" s="4" t="s">
        <v>278</v>
      </c>
      <c r="D843" s="4" t="s">
        <v>2023</v>
      </c>
      <c r="E843" s="4">
        <v>34683471904</v>
      </c>
      <c r="F843" s="37" t="s">
        <v>307</v>
      </c>
      <c r="G843" s="32">
        <v>46036</v>
      </c>
      <c r="H843" s="9" t="s">
        <v>856</v>
      </c>
      <c r="I843" s="4" t="s">
        <v>448</v>
      </c>
      <c r="J843" s="68" t="b">
        <v>1</v>
      </c>
      <c r="K843" s="67" t="b">
        <v>1</v>
      </c>
      <c r="N843" s="67" t="b">
        <v>1</v>
      </c>
      <c r="S843" s="4" t="s">
        <v>119</v>
      </c>
      <c r="T843" s="33">
        <v>46038</v>
      </c>
      <c r="U843" s="6">
        <v>203</v>
      </c>
      <c r="V843" s="7">
        <v>0.3</v>
      </c>
      <c r="W843" s="4">
        <v>1</v>
      </c>
      <c r="X843" s="8">
        <v>46023</v>
      </c>
      <c r="Y843" s="4"/>
      <c r="Z843" s="32"/>
      <c r="AA843" s="9"/>
      <c r="AB843" s="4"/>
      <c r="AC843" s="68"/>
      <c r="AD843" s="67"/>
      <c r="AL843" s="8"/>
    </row>
    <row r="844" spans="1:38" ht="12.5">
      <c r="A844" s="4" t="s">
        <v>5</v>
      </c>
      <c r="B844" s="4" t="s">
        <v>119</v>
      </c>
      <c r="C844" s="4" t="s">
        <v>2024</v>
      </c>
      <c r="D844" s="4" t="s">
        <v>2025</v>
      </c>
      <c r="E844" s="4">
        <v>34665521054</v>
      </c>
      <c r="F844" s="37" t="s">
        <v>8</v>
      </c>
      <c r="G844" s="32">
        <v>46036</v>
      </c>
      <c r="H844" s="9" t="s">
        <v>856</v>
      </c>
      <c r="I844" s="4" t="s">
        <v>941</v>
      </c>
      <c r="J844" s="68" t="b">
        <v>1</v>
      </c>
      <c r="K844" s="67" t="b">
        <v>1</v>
      </c>
      <c r="N844" s="67" t="b">
        <v>1</v>
      </c>
      <c r="Q844" s="67" t="b">
        <v>1</v>
      </c>
      <c r="S844" s="8"/>
      <c r="U844" s="4"/>
      <c r="V844" s="4"/>
      <c r="W844" s="4"/>
      <c r="X844" s="4"/>
      <c r="Y844" s="4"/>
      <c r="Z844" s="32"/>
      <c r="AA844" s="9"/>
      <c r="AB844" s="4"/>
      <c r="AC844" s="68"/>
      <c r="AD844" s="67"/>
      <c r="AL844" s="8"/>
    </row>
    <row r="845" spans="1:38" ht="12.5">
      <c r="A845" s="4" t="s">
        <v>5</v>
      </c>
      <c r="B845" s="4" t="s">
        <v>398</v>
      </c>
      <c r="C845" s="4" t="s">
        <v>2026</v>
      </c>
      <c r="D845" s="4" t="s">
        <v>2027</v>
      </c>
      <c r="E845" s="4">
        <v>34669166165</v>
      </c>
      <c r="F845" s="37" t="s">
        <v>56</v>
      </c>
      <c r="G845" s="32">
        <v>46036</v>
      </c>
      <c r="H845" s="9" t="s">
        <v>856</v>
      </c>
      <c r="I845" s="4" t="s">
        <v>448</v>
      </c>
      <c r="J845" s="68" t="b">
        <v>1</v>
      </c>
      <c r="K845" s="67" t="b">
        <v>1</v>
      </c>
      <c r="N845" s="67" t="b">
        <v>1</v>
      </c>
      <c r="S845" s="4" t="s">
        <v>119</v>
      </c>
      <c r="T845" s="33">
        <v>46041</v>
      </c>
      <c r="U845" s="6">
        <v>95</v>
      </c>
      <c r="V845" s="4">
        <v>0</v>
      </c>
      <c r="W845" s="4">
        <v>1</v>
      </c>
      <c r="X845" s="8">
        <v>46023</v>
      </c>
      <c r="Y845" s="4"/>
      <c r="Z845" s="32"/>
      <c r="AA845" s="9"/>
      <c r="AB845" s="4"/>
      <c r="AC845" s="68"/>
      <c r="AD845" s="67"/>
      <c r="AL845" s="8"/>
    </row>
    <row r="846" spans="1:38" ht="12.5">
      <c r="A846" s="4" t="s">
        <v>5</v>
      </c>
      <c r="B846" s="4" t="s">
        <v>119</v>
      </c>
      <c r="C846" s="4" t="s">
        <v>2028</v>
      </c>
      <c r="D846" s="4" t="s">
        <v>2029</v>
      </c>
      <c r="E846" s="4">
        <v>525531396243</v>
      </c>
      <c r="F846" s="37" t="s">
        <v>1480</v>
      </c>
      <c r="G846" s="32">
        <v>46036</v>
      </c>
      <c r="H846" s="9" t="s">
        <v>856</v>
      </c>
      <c r="I846" s="4" t="s">
        <v>886</v>
      </c>
      <c r="J846" s="68" t="b">
        <v>0</v>
      </c>
      <c r="K846" s="67" t="b">
        <v>1</v>
      </c>
      <c r="N846" s="67" t="b">
        <v>1</v>
      </c>
      <c r="S846" s="8"/>
      <c r="U846" s="4"/>
      <c r="V846" s="4"/>
      <c r="W846" s="4"/>
      <c r="X846" s="4"/>
      <c r="Y846" s="4"/>
      <c r="Z846" s="32"/>
      <c r="AA846" s="9"/>
      <c r="AB846" s="4"/>
      <c r="AC846" s="68"/>
      <c r="AD846" s="67"/>
      <c r="AL846" s="8"/>
    </row>
    <row r="847" spans="1:38" ht="12.5">
      <c r="A847" s="4" t="s">
        <v>5</v>
      </c>
      <c r="B847" s="4" t="s">
        <v>398</v>
      </c>
      <c r="C847" s="4" t="s">
        <v>2030</v>
      </c>
      <c r="D847" s="4" t="s">
        <v>2031</v>
      </c>
      <c r="E847" s="4">
        <v>56939161841</v>
      </c>
      <c r="F847" s="37" t="s">
        <v>70</v>
      </c>
      <c r="G847" s="32">
        <v>46036</v>
      </c>
      <c r="H847" s="9" t="s">
        <v>856</v>
      </c>
      <c r="I847" s="4" t="s">
        <v>448</v>
      </c>
      <c r="K847" s="67" t="b">
        <v>1</v>
      </c>
      <c r="N847" s="67" t="b">
        <v>1</v>
      </c>
      <c r="S847" s="4" t="s">
        <v>119</v>
      </c>
      <c r="T847" s="33">
        <v>46038</v>
      </c>
      <c r="U847" s="6">
        <v>250</v>
      </c>
      <c r="V847" s="4">
        <v>0</v>
      </c>
      <c r="W847" s="4">
        <v>1</v>
      </c>
      <c r="X847" s="8">
        <v>46023</v>
      </c>
      <c r="Y847" s="4"/>
      <c r="Z847" s="32"/>
      <c r="AA847" s="9"/>
      <c r="AB847" s="4"/>
      <c r="AC847" s="68"/>
      <c r="AD847" s="67"/>
      <c r="AL847" s="8"/>
    </row>
    <row r="848" spans="1:38" ht="12.5">
      <c r="A848" s="4" t="s">
        <v>5</v>
      </c>
      <c r="B848" s="4" t="s">
        <v>119</v>
      </c>
      <c r="C848" s="4" t="s">
        <v>2032</v>
      </c>
      <c r="E848" s="4" t="s">
        <v>2033</v>
      </c>
      <c r="F848" s="37" t="s">
        <v>33</v>
      </c>
      <c r="G848" s="32">
        <v>46036</v>
      </c>
      <c r="H848" s="9" t="s">
        <v>956</v>
      </c>
      <c r="I848" s="4" t="s">
        <v>459</v>
      </c>
      <c r="K848" s="67" t="b">
        <v>1</v>
      </c>
      <c r="N848" s="67" t="b">
        <v>1</v>
      </c>
      <c r="S848" s="8"/>
      <c r="U848" s="4"/>
      <c r="V848" s="4"/>
      <c r="W848" s="4"/>
      <c r="X848" s="4"/>
      <c r="Y848" s="4"/>
      <c r="Z848" s="32"/>
      <c r="AA848" s="9"/>
      <c r="AB848" s="4"/>
      <c r="AC848" s="68"/>
      <c r="AD848" s="67"/>
      <c r="AL848" s="8"/>
    </row>
    <row r="849" spans="1:38" ht="12.5">
      <c r="A849" s="4" t="s">
        <v>240</v>
      </c>
      <c r="B849" s="4" t="s">
        <v>398</v>
      </c>
      <c r="C849" s="4" t="s">
        <v>2034</v>
      </c>
      <c r="E849" s="4">
        <v>34681295693</v>
      </c>
      <c r="F849" s="37" t="s">
        <v>2035</v>
      </c>
      <c r="G849" s="32">
        <v>46036</v>
      </c>
      <c r="H849" s="9" t="s">
        <v>956</v>
      </c>
      <c r="I849" s="4" t="s">
        <v>459</v>
      </c>
      <c r="J849" s="68" t="b">
        <v>1</v>
      </c>
      <c r="K849" s="67" t="b">
        <v>1</v>
      </c>
      <c r="N849" s="67" t="b">
        <v>1</v>
      </c>
      <c r="S849" s="8"/>
      <c r="U849" s="4"/>
      <c r="V849" s="4"/>
      <c r="W849" s="4"/>
      <c r="X849" s="4"/>
      <c r="Y849" s="4"/>
      <c r="Z849" s="32"/>
      <c r="AA849" s="9"/>
      <c r="AB849" s="4"/>
      <c r="AC849" s="68"/>
      <c r="AD849" s="67"/>
      <c r="AL849" s="8"/>
    </row>
    <row r="850" spans="1:38" ht="12.5">
      <c r="A850" s="4" t="s">
        <v>5</v>
      </c>
      <c r="B850" s="4" t="s">
        <v>119</v>
      </c>
      <c r="C850" s="4" t="s">
        <v>274</v>
      </c>
      <c r="D850" s="4" t="s">
        <v>2036</v>
      </c>
      <c r="E850" s="4" t="s">
        <v>275</v>
      </c>
      <c r="F850" s="37" t="s">
        <v>2037</v>
      </c>
      <c r="G850" s="32">
        <v>46036</v>
      </c>
      <c r="H850" s="9" t="s">
        <v>956</v>
      </c>
      <c r="I850" s="4" t="s">
        <v>448</v>
      </c>
      <c r="J850" s="68" t="b">
        <v>1</v>
      </c>
      <c r="K850" s="67" t="b">
        <v>1</v>
      </c>
      <c r="S850" s="4" t="s">
        <v>119</v>
      </c>
      <c r="T850" s="33">
        <v>46036</v>
      </c>
      <c r="U850" s="15">
        <v>131.69999999999999</v>
      </c>
      <c r="V850" s="4">
        <v>0</v>
      </c>
      <c r="W850" s="4">
        <v>1</v>
      </c>
      <c r="X850" s="8">
        <v>46082</v>
      </c>
      <c r="Y850" s="4"/>
      <c r="Z850" s="32"/>
      <c r="AA850" s="9"/>
      <c r="AB850" s="4"/>
      <c r="AC850" s="68"/>
      <c r="AD850" s="67"/>
      <c r="AL850" s="8"/>
    </row>
    <row r="851" spans="1:38" ht="12.5">
      <c r="A851" s="4" t="s">
        <v>5</v>
      </c>
      <c r="B851" s="4" t="s">
        <v>398</v>
      </c>
      <c r="C851" s="4" t="s">
        <v>2038</v>
      </c>
      <c r="E851" s="4" t="s">
        <v>2039</v>
      </c>
      <c r="F851" s="37" t="s">
        <v>140</v>
      </c>
      <c r="G851" s="32">
        <v>46036</v>
      </c>
      <c r="H851" s="9" t="s">
        <v>956</v>
      </c>
      <c r="I851" s="4" t="s">
        <v>886</v>
      </c>
      <c r="K851" s="67" t="b">
        <v>1</v>
      </c>
      <c r="S851" s="8"/>
      <c r="U851" s="4"/>
      <c r="V851" s="4"/>
      <c r="W851" s="4"/>
      <c r="X851" s="4"/>
      <c r="Y851" s="4"/>
      <c r="Z851" s="32"/>
      <c r="AA851" s="9"/>
      <c r="AB851" s="4"/>
      <c r="AC851" s="68"/>
      <c r="AD851" s="67"/>
      <c r="AL851" s="8"/>
    </row>
    <row r="852" spans="1:38" ht="12.5">
      <c r="A852" s="4" t="s">
        <v>5</v>
      </c>
      <c r="B852" s="4" t="s">
        <v>119</v>
      </c>
      <c r="E852" s="4" t="s">
        <v>2040</v>
      </c>
      <c r="F852" s="4" t="s">
        <v>2041</v>
      </c>
      <c r="G852" s="32">
        <v>46036</v>
      </c>
      <c r="H852" s="9" t="s">
        <v>956</v>
      </c>
      <c r="I852" s="4" t="s">
        <v>459</v>
      </c>
      <c r="J852" s="4"/>
      <c r="K852" s="67" t="b">
        <v>1</v>
      </c>
      <c r="L852" s="4"/>
      <c r="M852" s="4"/>
      <c r="N852" s="4"/>
      <c r="O852" s="4"/>
      <c r="P852" s="4"/>
      <c r="Q852" s="4"/>
      <c r="R852" s="4"/>
      <c r="S852" s="8"/>
      <c r="U852" s="4"/>
      <c r="V852" s="4"/>
      <c r="W852" s="4"/>
      <c r="X852" s="4"/>
      <c r="Y852" s="4"/>
      <c r="Z852" s="32"/>
      <c r="AA852" s="9"/>
      <c r="AB852" s="4"/>
      <c r="AC852" s="68"/>
      <c r="AD852" s="67"/>
      <c r="AL852" s="8"/>
    </row>
    <row r="853" spans="1:38" ht="12.5">
      <c r="A853" s="4" t="s">
        <v>5</v>
      </c>
      <c r="B853" s="4" t="s">
        <v>398</v>
      </c>
      <c r="C853" s="4" t="s">
        <v>2042</v>
      </c>
      <c r="D853" s="4" t="s">
        <v>2043</v>
      </c>
      <c r="E853" s="4">
        <v>51995485504</v>
      </c>
      <c r="F853" s="37" t="s">
        <v>343</v>
      </c>
      <c r="G853" s="32">
        <v>46037</v>
      </c>
      <c r="H853" s="9" t="s">
        <v>856</v>
      </c>
      <c r="I853" s="4" t="s">
        <v>459</v>
      </c>
      <c r="J853" s="68" t="b">
        <v>1</v>
      </c>
      <c r="K853" s="67" t="b">
        <v>1</v>
      </c>
      <c r="L853" s="4"/>
      <c r="M853" s="4"/>
      <c r="N853" s="4"/>
      <c r="O853" s="4"/>
      <c r="P853" s="4"/>
      <c r="Q853" s="4"/>
      <c r="R853" s="4"/>
      <c r="S853" s="8"/>
      <c r="U853" s="4"/>
      <c r="V853" s="4"/>
      <c r="AL853" s="8"/>
    </row>
    <row r="854" spans="1:38" ht="12.5">
      <c r="A854" s="4" t="s">
        <v>5</v>
      </c>
      <c r="B854" s="4" t="s">
        <v>119</v>
      </c>
      <c r="C854" s="4" t="s">
        <v>2044</v>
      </c>
      <c r="D854" s="4" t="s">
        <v>2045</v>
      </c>
      <c r="E854" s="4">
        <v>34638899017</v>
      </c>
      <c r="F854" s="37" t="s">
        <v>52</v>
      </c>
      <c r="G854" s="32">
        <v>46037</v>
      </c>
      <c r="H854" s="9" t="s">
        <v>856</v>
      </c>
      <c r="I854" s="4" t="s">
        <v>459</v>
      </c>
      <c r="J854" s="4"/>
      <c r="K854" s="67" t="b">
        <v>1</v>
      </c>
      <c r="L854" s="68" t="b">
        <v>1</v>
      </c>
      <c r="M854" s="4"/>
      <c r="N854" s="4"/>
      <c r="O854" s="4"/>
      <c r="P854" s="4"/>
      <c r="Q854" s="4"/>
      <c r="R854" s="4"/>
      <c r="S854" s="8"/>
    </row>
    <row r="855" spans="1:38" ht="12.5">
      <c r="A855" s="4" t="s">
        <v>5</v>
      </c>
      <c r="B855" s="4" t="s">
        <v>398</v>
      </c>
      <c r="C855" s="4" t="s">
        <v>2046</v>
      </c>
      <c r="D855" s="4" t="s">
        <v>2047</v>
      </c>
      <c r="E855" s="4">
        <v>34639936844</v>
      </c>
      <c r="F855" s="4" t="s">
        <v>8</v>
      </c>
      <c r="G855" s="32">
        <v>46037</v>
      </c>
      <c r="H855" s="9" t="s">
        <v>856</v>
      </c>
      <c r="I855" s="4" t="s">
        <v>448</v>
      </c>
      <c r="J855" s="68" t="b">
        <v>1</v>
      </c>
      <c r="K855" s="67" t="b">
        <v>1</v>
      </c>
      <c r="L855" s="4"/>
      <c r="M855" s="4"/>
      <c r="N855" s="4"/>
      <c r="O855" s="4"/>
      <c r="P855" s="4"/>
      <c r="Q855" s="4"/>
      <c r="R855" s="4"/>
      <c r="S855" s="4" t="s">
        <v>119</v>
      </c>
      <c r="T855" s="33">
        <v>46037</v>
      </c>
      <c r="U855" s="6">
        <v>299</v>
      </c>
      <c r="V855" s="4">
        <v>0</v>
      </c>
      <c r="W855" s="4">
        <v>1</v>
      </c>
      <c r="X855" s="8">
        <v>46023</v>
      </c>
    </row>
    <row r="856" spans="1:38" ht="12.5">
      <c r="A856" s="4" t="s">
        <v>5</v>
      </c>
      <c r="B856" s="4" t="s">
        <v>119</v>
      </c>
      <c r="C856" s="4" t="s">
        <v>2048</v>
      </c>
      <c r="D856" s="4" t="s">
        <v>2049</v>
      </c>
      <c r="E856" s="4">
        <v>34660851750</v>
      </c>
      <c r="F856" s="37" t="s">
        <v>496</v>
      </c>
      <c r="G856" s="32">
        <v>46037</v>
      </c>
      <c r="H856" s="9" t="s">
        <v>856</v>
      </c>
      <c r="I856" s="4" t="s">
        <v>459</v>
      </c>
      <c r="J856" s="4"/>
      <c r="K856" s="67" t="b">
        <v>1</v>
      </c>
      <c r="L856" s="4"/>
      <c r="M856" s="4"/>
      <c r="N856" s="4"/>
      <c r="O856" s="4"/>
      <c r="P856" s="4"/>
      <c r="Q856" s="4"/>
      <c r="R856" s="4"/>
      <c r="S856" s="8"/>
    </row>
    <row r="857" spans="1:38" ht="12.5">
      <c r="A857" s="4" t="s">
        <v>5</v>
      </c>
      <c r="B857" s="4" t="s">
        <v>398</v>
      </c>
      <c r="C857" s="4" t="s">
        <v>2050</v>
      </c>
      <c r="E857" s="4" t="s">
        <v>2051</v>
      </c>
      <c r="F857" s="37" t="s">
        <v>2052</v>
      </c>
      <c r="G857" s="32">
        <v>46037</v>
      </c>
      <c r="H857" s="9" t="s">
        <v>979</v>
      </c>
      <c r="I857" s="4" t="s">
        <v>1097</v>
      </c>
      <c r="J857" s="4"/>
      <c r="K857" s="67" t="b">
        <v>1</v>
      </c>
      <c r="L857" s="4"/>
      <c r="M857" s="4"/>
      <c r="N857" s="4"/>
      <c r="O857" s="4"/>
      <c r="P857" s="4"/>
      <c r="Q857" s="4"/>
      <c r="R857" s="4"/>
      <c r="S857" s="8"/>
    </row>
    <row r="858" spans="1:38" ht="12.5">
      <c r="A858" s="4" t="s">
        <v>5</v>
      </c>
      <c r="B858" s="4" t="s">
        <v>119</v>
      </c>
      <c r="C858" s="4" t="s">
        <v>2053</v>
      </c>
      <c r="E858" s="4" t="s">
        <v>2054</v>
      </c>
      <c r="F858" s="4" t="s">
        <v>2055</v>
      </c>
      <c r="G858" s="32">
        <v>46037</v>
      </c>
      <c r="H858" s="9" t="s">
        <v>956</v>
      </c>
      <c r="I858" s="4" t="s">
        <v>448</v>
      </c>
      <c r="J858" s="4"/>
      <c r="K858" s="67" t="b">
        <v>1</v>
      </c>
      <c r="L858" s="4"/>
      <c r="M858" s="4"/>
      <c r="N858" s="4"/>
      <c r="O858" s="4"/>
      <c r="P858" s="4"/>
      <c r="Q858" s="4"/>
      <c r="R858" s="4"/>
      <c r="S858" s="4" t="s">
        <v>119</v>
      </c>
      <c r="T858" s="33">
        <v>46038</v>
      </c>
      <c r="U858" s="6">
        <v>1295</v>
      </c>
      <c r="V858" s="7">
        <v>0.3</v>
      </c>
      <c r="W858" s="4">
        <v>1</v>
      </c>
      <c r="X858" s="8">
        <v>46023</v>
      </c>
    </row>
    <row r="859" spans="1:38" ht="12.5">
      <c r="A859" s="4" t="s">
        <v>5</v>
      </c>
      <c r="B859" s="4" t="s">
        <v>398</v>
      </c>
      <c r="C859" s="4" t="s">
        <v>2056</v>
      </c>
      <c r="E859" s="4" t="s">
        <v>2057</v>
      </c>
      <c r="F859" s="4" t="s">
        <v>2058</v>
      </c>
      <c r="G859" s="32">
        <v>46037</v>
      </c>
      <c r="H859" s="9" t="s">
        <v>956</v>
      </c>
      <c r="I859" s="4" t="s">
        <v>459</v>
      </c>
      <c r="J859" s="4"/>
      <c r="K859" s="67" t="b">
        <v>1</v>
      </c>
      <c r="L859" s="4"/>
      <c r="M859" s="4"/>
      <c r="N859" s="4"/>
      <c r="O859" s="4"/>
      <c r="P859" s="4"/>
      <c r="Q859" s="4"/>
      <c r="R859" s="4"/>
      <c r="S859" s="8"/>
    </row>
    <row r="860" spans="1:38" ht="12.5">
      <c r="A860" s="4" t="s">
        <v>240</v>
      </c>
      <c r="B860" s="4" t="s">
        <v>119</v>
      </c>
      <c r="C860" s="4" t="s">
        <v>466</v>
      </c>
      <c r="E860" s="4" t="s">
        <v>280</v>
      </c>
      <c r="F860" s="4" t="s">
        <v>2059</v>
      </c>
      <c r="G860" s="32">
        <v>46037</v>
      </c>
      <c r="H860" s="9" t="s">
        <v>956</v>
      </c>
      <c r="I860" s="4" t="s">
        <v>448</v>
      </c>
      <c r="J860" s="4"/>
      <c r="K860" s="67" t="b">
        <v>1</v>
      </c>
      <c r="L860" s="4"/>
      <c r="M860" s="4"/>
      <c r="N860" s="4"/>
      <c r="O860" s="4"/>
      <c r="P860" s="4"/>
      <c r="Q860" s="4"/>
      <c r="R860" s="4"/>
      <c r="S860" s="4" t="s">
        <v>119</v>
      </c>
      <c r="T860" s="4" t="s">
        <v>2060</v>
      </c>
      <c r="U860" s="6">
        <v>126.9</v>
      </c>
      <c r="V860" s="7">
        <v>0.3</v>
      </c>
      <c r="W860" s="4">
        <v>1</v>
      </c>
      <c r="X860" s="8">
        <v>46235</v>
      </c>
    </row>
    <row r="861" spans="1:38" ht="12.5">
      <c r="A861" s="4" t="s">
        <v>5</v>
      </c>
      <c r="B861" s="4" t="s">
        <v>398</v>
      </c>
      <c r="C861" s="4" t="s">
        <v>2061</v>
      </c>
      <c r="E861" s="4" t="s">
        <v>2062</v>
      </c>
      <c r="F861" s="4" t="s">
        <v>8</v>
      </c>
      <c r="G861" s="32">
        <v>46037</v>
      </c>
      <c r="H861" s="9" t="s">
        <v>956</v>
      </c>
      <c r="I861" s="4" t="s">
        <v>459</v>
      </c>
      <c r="J861" s="4"/>
      <c r="K861" s="67" t="b">
        <v>1</v>
      </c>
      <c r="L861" s="4"/>
      <c r="M861" s="4"/>
      <c r="N861" s="4"/>
      <c r="O861" s="4"/>
      <c r="P861" s="4"/>
      <c r="Q861" s="4"/>
      <c r="R861" s="4"/>
      <c r="S861" s="8"/>
    </row>
    <row r="862" spans="1:38" ht="12.5">
      <c r="A862" s="4" t="s">
        <v>5</v>
      </c>
      <c r="B862" s="4" t="s">
        <v>119</v>
      </c>
      <c r="C862" s="4" t="s">
        <v>2063</v>
      </c>
      <c r="E862" s="4" t="s">
        <v>2064</v>
      </c>
      <c r="F862" s="4" t="s">
        <v>2065</v>
      </c>
      <c r="G862" s="32">
        <v>46037</v>
      </c>
      <c r="H862" s="9" t="s">
        <v>956</v>
      </c>
      <c r="I862" s="4" t="s">
        <v>459</v>
      </c>
      <c r="J862" s="4"/>
      <c r="K862" s="67" t="b">
        <v>1</v>
      </c>
      <c r="L862" s="4"/>
      <c r="M862" s="4"/>
      <c r="N862" s="4"/>
      <c r="O862" s="4"/>
      <c r="P862" s="4"/>
      <c r="Q862" s="4"/>
      <c r="R862" s="4"/>
      <c r="S862" s="8"/>
    </row>
    <row r="863" spans="1:38" ht="12.5">
      <c r="A863" s="4" t="s">
        <v>240</v>
      </c>
      <c r="B863" s="4" t="s">
        <v>398</v>
      </c>
      <c r="C863" s="4" t="s">
        <v>661</v>
      </c>
      <c r="E863" s="4" t="s">
        <v>2066</v>
      </c>
      <c r="F863" s="4" t="s">
        <v>276</v>
      </c>
      <c r="G863" s="32">
        <v>46037</v>
      </c>
      <c r="H863" s="9" t="s">
        <v>956</v>
      </c>
      <c r="I863" s="4" t="s">
        <v>448</v>
      </c>
      <c r="J863" s="4"/>
      <c r="K863" s="67" t="b">
        <v>1</v>
      </c>
      <c r="L863" s="4"/>
      <c r="M863" s="4"/>
      <c r="N863" s="4"/>
      <c r="O863" s="4"/>
      <c r="P863" s="4"/>
      <c r="Q863" s="4"/>
      <c r="R863" s="4"/>
      <c r="S863" s="4" t="s">
        <v>119</v>
      </c>
      <c r="T863" s="33">
        <v>46038</v>
      </c>
      <c r="U863" s="6">
        <v>1140</v>
      </c>
      <c r="V863" s="7">
        <v>0.3</v>
      </c>
      <c r="W863" s="4">
        <v>1</v>
      </c>
      <c r="X863" s="8">
        <v>46023</v>
      </c>
    </row>
    <row r="864" spans="1:38" ht="12.5">
      <c r="A864" s="4" t="s">
        <v>240</v>
      </c>
      <c r="B864" s="4" t="s">
        <v>119</v>
      </c>
      <c r="C864" s="4" t="s">
        <v>661</v>
      </c>
      <c r="E864" s="4" t="s">
        <v>2066</v>
      </c>
      <c r="F864" s="4" t="s">
        <v>277</v>
      </c>
      <c r="G864" s="32">
        <v>46037</v>
      </c>
      <c r="H864" s="9" t="s">
        <v>956</v>
      </c>
      <c r="I864" s="4" t="s">
        <v>459</v>
      </c>
      <c r="J864" s="4"/>
      <c r="K864" s="67" t="b">
        <v>1</v>
      </c>
      <c r="L864" s="4"/>
      <c r="M864" s="4"/>
      <c r="N864" s="4"/>
      <c r="O864" s="4"/>
      <c r="P864" s="4"/>
      <c r="Q864" s="4"/>
      <c r="R864" s="4"/>
      <c r="S864" s="8"/>
    </row>
    <row r="865" spans="1:19" ht="12.5">
      <c r="A865" s="4" t="s">
        <v>381</v>
      </c>
      <c r="B865" s="4" t="s">
        <v>398</v>
      </c>
      <c r="C865" s="4" t="s">
        <v>1485</v>
      </c>
      <c r="D865" s="4" t="s">
        <v>1486</v>
      </c>
      <c r="E865" s="4" t="s">
        <v>2067</v>
      </c>
      <c r="F865" s="4" t="s">
        <v>1826</v>
      </c>
      <c r="G865" s="32">
        <v>46038</v>
      </c>
      <c r="H865" s="9" t="s">
        <v>856</v>
      </c>
      <c r="I865" s="4" t="s">
        <v>459</v>
      </c>
      <c r="K865" s="67" t="b">
        <v>0</v>
      </c>
      <c r="L865" s="68" t="b">
        <v>1</v>
      </c>
      <c r="S865" s="8"/>
    </row>
    <row r="866" spans="1:19" ht="12.5">
      <c r="A866" s="4" t="s">
        <v>5</v>
      </c>
      <c r="B866" s="4" t="s">
        <v>119</v>
      </c>
      <c r="C866" s="4" t="s">
        <v>2068</v>
      </c>
      <c r="D866" s="4" t="s">
        <v>2069</v>
      </c>
      <c r="E866" s="4">
        <v>34627945154</v>
      </c>
      <c r="F866" s="4" t="s">
        <v>1167</v>
      </c>
      <c r="G866" s="32">
        <v>46040</v>
      </c>
      <c r="H866" s="9" t="s">
        <v>856</v>
      </c>
      <c r="I866" s="4" t="s">
        <v>459</v>
      </c>
      <c r="K866" s="67" t="b">
        <v>0</v>
      </c>
      <c r="S866" s="8"/>
    </row>
    <row r="867" spans="1:19" ht="12.5">
      <c r="A867" s="4" t="s">
        <v>5</v>
      </c>
      <c r="B867" s="4" t="s">
        <v>398</v>
      </c>
      <c r="C867" s="4" t="s">
        <v>2070</v>
      </c>
      <c r="D867" s="4" t="s">
        <v>2069</v>
      </c>
      <c r="E867" s="4">
        <v>34627945154</v>
      </c>
      <c r="F867" s="4" t="s">
        <v>2071</v>
      </c>
      <c r="G867" s="32">
        <v>46040</v>
      </c>
      <c r="H867" s="9" t="s">
        <v>856</v>
      </c>
      <c r="I867" s="4" t="s">
        <v>459</v>
      </c>
      <c r="K867" s="67" t="b">
        <v>0</v>
      </c>
      <c r="S867" s="8"/>
    </row>
    <row r="868" spans="1:19" ht="12.5">
      <c r="A868" s="4" t="s">
        <v>5</v>
      </c>
      <c r="B868" s="4" t="s">
        <v>119</v>
      </c>
      <c r="C868" s="4" t="s">
        <v>2072</v>
      </c>
      <c r="D868" s="4" t="s">
        <v>2073</v>
      </c>
      <c r="E868" s="4">
        <v>541164784024</v>
      </c>
      <c r="F868" s="4" t="s">
        <v>2074</v>
      </c>
      <c r="G868" s="32">
        <v>46040</v>
      </c>
      <c r="H868" s="9" t="s">
        <v>856</v>
      </c>
      <c r="I868" s="4" t="s">
        <v>459</v>
      </c>
      <c r="K868" s="67" t="b">
        <v>1</v>
      </c>
      <c r="S868" s="8"/>
    </row>
    <row r="869" spans="1:19" ht="12.5">
      <c r="A869" s="4" t="s">
        <v>5</v>
      </c>
      <c r="B869" s="4" t="s">
        <v>398</v>
      </c>
      <c r="C869" s="4" t="s">
        <v>2075</v>
      </c>
      <c r="D869" s="4" t="s">
        <v>2076</v>
      </c>
      <c r="E869" s="4">
        <v>34616364608</v>
      </c>
      <c r="F869" s="4" t="s">
        <v>52</v>
      </c>
      <c r="G869" s="32">
        <v>46040</v>
      </c>
      <c r="H869" s="9" t="s">
        <v>856</v>
      </c>
      <c r="I869" s="4" t="s">
        <v>459</v>
      </c>
      <c r="K869" s="67" t="b">
        <v>0</v>
      </c>
      <c r="S869" s="8"/>
    </row>
    <row r="870" spans="1:19" ht="12.5">
      <c r="A870" s="4" t="s">
        <v>381</v>
      </c>
      <c r="B870" s="4" t="s">
        <v>119</v>
      </c>
      <c r="C870" s="4" t="s">
        <v>2077</v>
      </c>
      <c r="D870" s="4" t="s">
        <v>2078</v>
      </c>
      <c r="E870" s="4">
        <v>5930983709007</v>
      </c>
      <c r="F870" s="4" t="s">
        <v>2079</v>
      </c>
      <c r="G870" s="32">
        <v>46041</v>
      </c>
      <c r="H870" s="9" t="s">
        <v>856</v>
      </c>
      <c r="I870" s="4" t="s">
        <v>459</v>
      </c>
      <c r="K870" s="67" t="b">
        <v>1</v>
      </c>
      <c r="S870" s="8"/>
    </row>
    <row r="871" spans="1:19" ht="12.5">
      <c r="A871" s="4" t="s">
        <v>5</v>
      </c>
      <c r="B871" s="4" t="s">
        <v>398</v>
      </c>
      <c r="C871" s="4" t="s">
        <v>2080</v>
      </c>
      <c r="D871" s="4" t="s">
        <v>2081</v>
      </c>
      <c r="E871" s="4">
        <v>34698272729</v>
      </c>
      <c r="F871" s="4" t="s">
        <v>388</v>
      </c>
      <c r="G871" s="32">
        <v>46041</v>
      </c>
      <c r="H871" s="9" t="s">
        <v>856</v>
      </c>
      <c r="I871" s="4" t="s">
        <v>459</v>
      </c>
      <c r="K871" s="67" t="b">
        <v>1</v>
      </c>
      <c r="S871" s="8"/>
    </row>
    <row r="872" spans="1:19" ht="12.5">
      <c r="A872" s="4" t="s">
        <v>5</v>
      </c>
      <c r="B872" s="4" t="s">
        <v>119</v>
      </c>
      <c r="C872" s="4" t="s">
        <v>2082</v>
      </c>
      <c r="E872" s="4" t="s">
        <v>2083</v>
      </c>
      <c r="F872" s="4" t="s">
        <v>1259</v>
      </c>
      <c r="G872" s="32">
        <v>46041</v>
      </c>
      <c r="H872" s="9" t="s">
        <v>956</v>
      </c>
      <c r="I872" s="4" t="s">
        <v>459</v>
      </c>
      <c r="J872" s="68" t="b">
        <v>1</v>
      </c>
      <c r="K872" s="67" t="b">
        <v>1</v>
      </c>
      <c r="L872" s="4"/>
      <c r="M872" s="4"/>
      <c r="N872" s="67" t="b">
        <v>1</v>
      </c>
      <c r="O872" s="4"/>
      <c r="P872" s="4"/>
      <c r="Q872" s="4"/>
      <c r="R872" s="4"/>
      <c r="S872" s="8"/>
    </row>
    <row r="873" spans="1:19" ht="12.5">
      <c r="A873" s="4" t="s">
        <v>5</v>
      </c>
      <c r="B873" s="4" t="s">
        <v>398</v>
      </c>
      <c r="C873" s="4" t="s">
        <v>282</v>
      </c>
      <c r="D873" s="4" t="s">
        <v>2084</v>
      </c>
      <c r="E873" s="4">
        <v>34692718877</v>
      </c>
      <c r="F873" s="4" t="s">
        <v>283</v>
      </c>
      <c r="G873" s="32">
        <v>46041</v>
      </c>
      <c r="H873" s="9" t="s">
        <v>856</v>
      </c>
      <c r="I873" s="4" t="s">
        <v>459</v>
      </c>
      <c r="K873" s="67" t="b">
        <v>1</v>
      </c>
      <c r="S873" s="8"/>
    </row>
    <row r="874" spans="1:19" ht="12.5">
      <c r="A874" s="4" t="s">
        <v>381</v>
      </c>
      <c r="B874" s="4" t="s">
        <v>119</v>
      </c>
      <c r="E874" s="4" t="s">
        <v>2085</v>
      </c>
      <c r="F874" s="4" t="s">
        <v>2086</v>
      </c>
      <c r="G874" s="32">
        <v>46041</v>
      </c>
      <c r="I874" s="4" t="s">
        <v>459</v>
      </c>
      <c r="J874" s="68" t="b">
        <v>1</v>
      </c>
      <c r="K874" s="67" t="b">
        <v>1</v>
      </c>
      <c r="L874" s="4"/>
      <c r="M874" s="4"/>
      <c r="N874" s="67" t="b">
        <v>1</v>
      </c>
      <c r="O874" s="4"/>
      <c r="P874" s="4"/>
      <c r="Q874" s="4"/>
      <c r="R874" s="4"/>
      <c r="S874" s="8"/>
    </row>
    <row r="875" spans="1:19" ht="12.5">
      <c r="A875" s="4" t="s">
        <v>5</v>
      </c>
      <c r="B875" s="4" t="s">
        <v>398</v>
      </c>
      <c r="C875" s="4" t="s">
        <v>2087</v>
      </c>
      <c r="D875" s="4" t="s">
        <v>2088</v>
      </c>
      <c r="E875" s="4">
        <v>34680519645</v>
      </c>
      <c r="F875" s="4" t="s">
        <v>70</v>
      </c>
      <c r="G875" s="32">
        <v>46041</v>
      </c>
      <c r="H875" s="4" t="s">
        <v>856</v>
      </c>
      <c r="I875" s="4" t="s">
        <v>459</v>
      </c>
      <c r="K875" s="67"/>
      <c r="L875" s="68" t="b">
        <v>1</v>
      </c>
      <c r="S875" s="8"/>
    </row>
    <row r="876" spans="1:19" ht="12.5">
      <c r="A876" s="4" t="s">
        <v>5</v>
      </c>
      <c r="B876" s="4" t="s">
        <v>119</v>
      </c>
      <c r="C876" s="4" t="s">
        <v>2089</v>
      </c>
      <c r="D876" s="4" t="s">
        <v>2090</v>
      </c>
      <c r="E876" s="4">
        <v>59894494557</v>
      </c>
      <c r="F876" s="4" t="s">
        <v>70</v>
      </c>
      <c r="G876" s="32">
        <v>46041</v>
      </c>
      <c r="H876" s="4" t="s">
        <v>856</v>
      </c>
      <c r="I876" s="4" t="s">
        <v>941</v>
      </c>
      <c r="K876" s="67" t="b">
        <v>1</v>
      </c>
      <c r="N876" s="67" t="b">
        <v>1</v>
      </c>
      <c r="S876" s="8"/>
    </row>
    <row r="877" spans="1:19" ht="12.5">
      <c r="A877" s="4" t="s">
        <v>5</v>
      </c>
      <c r="B877" s="4" t="s">
        <v>398</v>
      </c>
      <c r="C877" s="4" t="s">
        <v>2091</v>
      </c>
      <c r="D877" s="4" t="s">
        <v>1935</v>
      </c>
      <c r="E877" s="4">
        <v>529516149277</v>
      </c>
      <c r="F877" s="4" t="s">
        <v>354</v>
      </c>
      <c r="G877" s="32">
        <v>46041</v>
      </c>
      <c r="H877" s="4" t="s">
        <v>856</v>
      </c>
      <c r="I877" s="4" t="s">
        <v>459</v>
      </c>
      <c r="K877" s="67" t="b">
        <v>1</v>
      </c>
      <c r="S877" s="8"/>
    </row>
    <row r="878" spans="1:19" ht="12.5">
      <c r="A878" s="4" t="s">
        <v>5</v>
      </c>
      <c r="B878" s="4" t="s">
        <v>119</v>
      </c>
      <c r="C878" s="4" t="s">
        <v>2092</v>
      </c>
      <c r="D878" s="4" t="s">
        <v>2093</v>
      </c>
      <c r="E878" s="4">
        <v>18493977264</v>
      </c>
      <c r="F878" s="4" t="s">
        <v>8</v>
      </c>
      <c r="G878" s="32">
        <v>46041</v>
      </c>
      <c r="H878" s="4" t="s">
        <v>856</v>
      </c>
      <c r="I878" s="4" t="s">
        <v>459</v>
      </c>
      <c r="K878" s="67" t="b">
        <v>1</v>
      </c>
      <c r="S878" s="8"/>
    </row>
    <row r="879" spans="1:19" ht="12.5">
      <c r="A879" s="4" t="s">
        <v>5</v>
      </c>
      <c r="B879" s="4" t="s">
        <v>398</v>
      </c>
      <c r="C879" s="4" t="s">
        <v>2094</v>
      </c>
      <c r="D879" s="4" t="s">
        <v>2095</v>
      </c>
      <c r="E879" s="4">
        <v>56977183801</v>
      </c>
      <c r="F879" s="4" t="s">
        <v>70</v>
      </c>
      <c r="G879" s="32">
        <v>46041</v>
      </c>
      <c r="H879" s="4" t="s">
        <v>856</v>
      </c>
      <c r="I879" s="4" t="s">
        <v>459</v>
      </c>
      <c r="K879" s="67" t="b">
        <v>1</v>
      </c>
      <c r="S879" s="8"/>
    </row>
    <row r="880" spans="1:19" ht="12.5">
      <c r="A880" s="4" t="s">
        <v>5</v>
      </c>
      <c r="B880" s="4" t="s">
        <v>119</v>
      </c>
      <c r="C880" s="4" t="s">
        <v>2096</v>
      </c>
      <c r="D880" s="4" t="s">
        <v>2097</v>
      </c>
      <c r="E880" s="4">
        <v>18298624976</v>
      </c>
      <c r="F880" s="4" t="s">
        <v>689</v>
      </c>
      <c r="G880" s="32">
        <v>46041</v>
      </c>
      <c r="H880" s="4" t="s">
        <v>856</v>
      </c>
      <c r="I880" s="4" t="s">
        <v>459</v>
      </c>
      <c r="K880" s="67" t="b">
        <v>1</v>
      </c>
      <c r="S880" s="8"/>
    </row>
    <row r="881" spans="1:24" ht="12.5">
      <c r="A881" s="4" t="s">
        <v>381</v>
      </c>
      <c r="B881" s="4" t="s">
        <v>398</v>
      </c>
      <c r="C881" s="4" t="s">
        <v>2098</v>
      </c>
      <c r="D881" s="4" t="s">
        <v>2099</v>
      </c>
      <c r="E881" s="4">
        <v>593985431252</v>
      </c>
      <c r="F881" s="4" t="s">
        <v>2100</v>
      </c>
      <c r="G881" s="32">
        <v>46041</v>
      </c>
      <c r="H881" s="4" t="s">
        <v>856</v>
      </c>
      <c r="I881" s="4" t="s">
        <v>459</v>
      </c>
      <c r="J881" s="68" t="b">
        <v>1</v>
      </c>
      <c r="K881" s="67" t="b">
        <v>1</v>
      </c>
      <c r="S881" s="8"/>
    </row>
    <row r="882" spans="1:24" ht="12.5">
      <c r="A882" s="4" t="s">
        <v>5</v>
      </c>
      <c r="B882" s="4" t="s">
        <v>119</v>
      </c>
      <c r="C882" s="4" t="s">
        <v>2101</v>
      </c>
      <c r="D882" s="4" t="s">
        <v>2102</v>
      </c>
      <c r="E882" s="4">
        <v>543876124702</v>
      </c>
      <c r="F882" s="4" t="s">
        <v>354</v>
      </c>
      <c r="G882" s="32">
        <v>46041</v>
      </c>
      <c r="H882" s="4" t="s">
        <v>856</v>
      </c>
      <c r="I882" s="4" t="s">
        <v>459</v>
      </c>
      <c r="K882" s="67" t="b">
        <v>1</v>
      </c>
      <c r="S882" s="8"/>
    </row>
    <row r="883" spans="1:24" ht="12.5">
      <c r="A883" s="4" t="s">
        <v>5</v>
      </c>
      <c r="B883" s="4" t="s">
        <v>398</v>
      </c>
      <c r="C883" s="4" t="s">
        <v>279</v>
      </c>
      <c r="E883" s="4" t="s">
        <v>2103</v>
      </c>
      <c r="F883" s="4" t="s">
        <v>2104</v>
      </c>
      <c r="G883" s="32">
        <v>46041</v>
      </c>
      <c r="H883" s="9" t="s">
        <v>956</v>
      </c>
      <c r="I883" s="4" t="s">
        <v>448</v>
      </c>
      <c r="J883" s="68" t="b">
        <v>1</v>
      </c>
      <c r="K883" s="67" t="b">
        <v>1</v>
      </c>
      <c r="S883" s="4" t="s">
        <v>119</v>
      </c>
      <c r="T883" s="33">
        <v>46041</v>
      </c>
      <c r="U883" s="6">
        <v>175</v>
      </c>
      <c r="V883" s="7">
        <v>0.3</v>
      </c>
      <c r="W883" s="4">
        <v>1</v>
      </c>
      <c r="X883" s="8">
        <v>46023</v>
      </c>
    </row>
    <row r="884" spans="1:24" ht="12.5">
      <c r="A884" s="4" t="s">
        <v>5</v>
      </c>
      <c r="B884" s="4" t="s">
        <v>119</v>
      </c>
      <c r="C884" s="4" t="s">
        <v>2105</v>
      </c>
      <c r="D884" s="4" t="s">
        <v>2106</v>
      </c>
      <c r="E884" s="4">
        <v>528714708255</v>
      </c>
      <c r="F884" s="4" t="s">
        <v>129</v>
      </c>
      <c r="G884" s="32">
        <v>46042</v>
      </c>
      <c r="H884" s="4" t="s">
        <v>856</v>
      </c>
      <c r="I884" s="4" t="s">
        <v>459</v>
      </c>
      <c r="K884" s="67" t="b">
        <v>1</v>
      </c>
      <c r="S884" s="8"/>
    </row>
    <row r="885" spans="1:24" ht="12.5">
      <c r="A885" s="4" t="s">
        <v>5</v>
      </c>
      <c r="B885" s="4" t="s">
        <v>398</v>
      </c>
      <c r="C885" s="4" t="s">
        <v>2107</v>
      </c>
      <c r="D885" s="4" t="s">
        <v>2108</v>
      </c>
      <c r="E885" s="4">
        <v>34651820874</v>
      </c>
      <c r="F885" s="4" t="s">
        <v>284</v>
      </c>
      <c r="G885" s="32">
        <v>46042</v>
      </c>
      <c r="H885" s="4" t="s">
        <v>856</v>
      </c>
      <c r="I885" s="4" t="s">
        <v>448</v>
      </c>
      <c r="J885" s="68" t="b">
        <v>1</v>
      </c>
      <c r="K885" s="67" t="b">
        <v>1</v>
      </c>
      <c r="S885" s="4" t="s">
        <v>119</v>
      </c>
      <c r="T885" s="33">
        <v>46045</v>
      </c>
      <c r="U885" s="6">
        <v>245</v>
      </c>
      <c r="V885" s="4">
        <v>0</v>
      </c>
      <c r="W885" s="4">
        <v>1</v>
      </c>
      <c r="X885" s="8">
        <v>46023</v>
      </c>
    </row>
    <row r="886" spans="1:24" ht="12.5">
      <c r="A886" s="4" t="s">
        <v>5</v>
      </c>
      <c r="B886" s="4" t="s">
        <v>119</v>
      </c>
      <c r="C886" s="4" t="s">
        <v>2109</v>
      </c>
      <c r="D886" s="4" t="s">
        <v>2110</v>
      </c>
      <c r="E886" s="4">
        <v>34686529523</v>
      </c>
      <c r="F886" s="4" t="s">
        <v>56</v>
      </c>
      <c r="G886" s="32">
        <v>46042</v>
      </c>
      <c r="H886" s="4" t="s">
        <v>856</v>
      </c>
      <c r="I886" s="4" t="s">
        <v>459</v>
      </c>
      <c r="K886" s="67" t="b">
        <v>1</v>
      </c>
      <c r="N886" s="67" t="b">
        <v>1</v>
      </c>
      <c r="S886" s="8"/>
    </row>
    <row r="887" spans="1:24" ht="12.5">
      <c r="A887" s="4" t="s">
        <v>5</v>
      </c>
      <c r="B887" s="4" t="s">
        <v>398</v>
      </c>
      <c r="C887" s="4" t="s">
        <v>2111</v>
      </c>
      <c r="D887" s="4" t="s">
        <v>2112</v>
      </c>
      <c r="E887" s="4">
        <v>528713169193</v>
      </c>
      <c r="F887" s="4" t="s">
        <v>319</v>
      </c>
      <c r="G887" s="32">
        <v>46042</v>
      </c>
      <c r="H887" s="4" t="s">
        <v>856</v>
      </c>
      <c r="I887" s="4" t="s">
        <v>459</v>
      </c>
      <c r="K887" s="67" t="b">
        <v>1</v>
      </c>
      <c r="S887" s="8"/>
    </row>
    <row r="888" spans="1:24" ht="12.5">
      <c r="A888" s="4" t="s">
        <v>5</v>
      </c>
      <c r="B888" s="4" t="s">
        <v>119</v>
      </c>
      <c r="C888" s="4" t="s">
        <v>2113</v>
      </c>
      <c r="D888" s="4" t="s">
        <v>2114</v>
      </c>
      <c r="E888" s="4">
        <v>50368230338</v>
      </c>
      <c r="F888" s="4" t="s">
        <v>327</v>
      </c>
      <c r="G888" s="32">
        <v>46042</v>
      </c>
      <c r="H888" s="4" t="s">
        <v>856</v>
      </c>
      <c r="I888" s="4" t="s">
        <v>459</v>
      </c>
      <c r="J888" s="68" t="b">
        <v>1</v>
      </c>
      <c r="K888" s="67" t="b">
        <v>1</v>
      </c>
      <c r="S888" s="8"/>
    </row>
    <row r="889" spans="1:24" ht="12.5">
      <c r="A889" s="4" t="s">
        <v>5</v>
      </c>
      <c r="B889" s="4" t="s">
        <v>398</v>
      </c>
      <c r="C889" s="4" t="s">
        <v>398</v>
      </c>
      <c r="D889" s="4" t="s">
        <v>2115</v>
      </c>
      <c r="E889" s="4">
        <v>5155161519022</v>
      </c>
      <c r="F889" s="4" t="s">
        <v>70</v>
      </c>
      <c r="G889" s="32">
        <v>46042</v>
      </c>
      <c r="H889" s="4" t="s">
        <v>856</v>
      </c>
      <c r="I889" s="4" t="s">
        <v>459</v>
      </c>
      <c r="K889" s="67" t="b">
        <v>0</v>
      </c>
      <c r="L889" s="68" t="b">
        <v>1</v>
      </c>
      <c r="S889" s="8"/>
    </row>
    <row r="890" spans="1:24" ht="12.5">
      <c r="A890" s="4" t="s">
        <v>5</v>
      </c>
      <c r="B890" s="4" t="s">
        <v>119</v>
      </c>
      <c r="C890" s="4" t="s">
        <v>2116</v>
      </c>
      <c r="D890" s="4" t="s">
        <v>2117</v>
      </c>
      <c r="E890" s="4">
        <v>3873875524504</v>
      </c>
      <c r="F890" s="4" t="s">
        <v>354</v>
      </c>
      <c r="G890" s="32">
        <v>46042</v>
      </c>
      <c r="H890" s="4" t="s">
        <v>856</v>
      </c>
      <c r="I890" s="4" t="s">
        <v>459</v>
      </c>
      <c r="K890" s="67" t="b">
        <v>0</v>
      </c>
      <c r="L890" s="68" t="b">
        <v>1</v>
      </c>
      <c r="S890" s="8"/>
    </row>
    <row r="891" spans="1:24" ht="12.5">
      <c r="A891" s="4" t="s">
        <v>5</v>
      </c>
      <c r="B891" s="4" t="s">
        <v>398</v>
      </c>
      <c r="C891" s="4" t="s">
        <v>2118</v>
      </c>
      <c r="D891" s="4" t="s">
        <v>2119</v>
      </c>
      <c r="E891" s="4">
        <v>34680649435</v>
      </c>
      <c r="F891" s="4" t="s">
        <v>388</v>
      </c>
      <c r="G891" s="32">
        <v>46042</v>
      </c>
      <c r="H891" s="4" t="s">
        <v>856</v>
      </c>
      <c r="I891" s="4" t="s">
        <v>941</v>
      </c>
      <c r="K891" s="67" t="b">
        <v>1</v>
      </c>
      <c r="N891" s="67" t="b">
        <v>1</v>
      </c>
      <c r="S891" s="8"/>
    </row>
    <row r="892" spans="1:24" ht="12.5">
      <c r="A892" s="4" t="s">
        <v>5</v>
      </c>
      <c r="B892" s="4" t="s">
        <v>119</v>
      </c>
      <c r="C892" s="4" t="s">
        <v>2120</v>
      </c>
      <c r="D892" s="4" t="s">
        <v>2121</v>
      </c>
      <c r="E892" s="4">
        <v>34654954208</v>
      </c>
      <c r="F892" s="4" t="s">
        <v>8</v>
      </c>
      <c r="G892" s="32">
        <v>46042</v>
      </c>
      <c r="H892" s="4" t="s">
        <v>856</v>
      </c>
      <c r="I892" s="4" t="s">
        <v>459</v>
      </c>
      <c r="K892" s="67" t="b">
        <v>1</v>
      </c>
      <c r="S892" s="8"/>
    </row>
    <row r="893" spans="1:24" ht="12.5">
      <c r="A893" s="4" t="s">
        <v>5</v>
      </c>
      <c r="B893" s="4" t="s">
        <v>398</v>
      </c>
      <c r="C893" s="4" t="s">
        <v>2122</v>
      </c>
      <c r="D893" s="4" t="s">
        <v>2123</v>
      </c>
      <c r="E893" s="4">
        <v>34687266620</v>
      </c>
      <c r="F893" s="4" t="s">
        <v>307</v>
      </c>
      <c r="G893" s="32">
        <v>46042</v>
      </c>
      <c r="H893" s="4" t="s">
        <v>856</v>
      </c>
      <c r="I893" s="4" t="s">
        <v>459</v>
      </c>
      <c r="K893" s="67" t="b">
        <v>1</v>
      </c>
      <c r="N893" s="67" t="b">
        <v>1</v>
      </c>
      <c r="S893" s="8"/>
    </row>
    <row r="894" spans="1:24" ht="12.5">
      <c r="A894" s="4" t="s">
        <v>240</v>
      </c>
      <c r="B894" s="4" t="s">
        <v>119</v>
      </c>
      <c r="C894" s="4" t="s">
        <v>2124</v>
      </c>
      <c r="E894" s="4" t="s">
        <v>2125</v>
      </c>
      <c r="F894" s="4" t="s">
        <v>2126</v>
      </c>
      <c r="G894" s="32">
        <v>46042</v>
      </c>
      <c r="H894" s="9" t="s">
        <v>956</v>
      </c>
      <c r="I894" s="4" t="s">
        <v>459</v>
      </c>
      <c r="K894" s="67" t="b">
        <v>1</v>
      </c>
      <c r="N894" s="67" t="b">
        <v>1</v>
      </c>
      <c r="S894" s="4"/>
      <c r="T894" s="33"/>
      <c r="U894" s="6"/>
      <c r="X894" s="8"/>
    </row>
    <row r="895" spans="1:24" ht="12.5">
      <c r="A895" s="4" t="s">
        <v>5</v>
      </c>
      <c r="B895" s="4" t="s">
        <v>398</v>
      </c>
      <c r="E895" s="4" t="s">
        <v>2127</v>
      </c>
      <c r="F895" s="4" t="s">
        <v>2104</v>
      </c>
      <c r="G895" s="32">
        <v>46042</v>
      </c>
      <c r="H895" s="9" t="s">
        <v>956</v>
      </c>
      <c r="I895" s="4" t="s">
        <v>459</v>
      </c>
      <c r="K895" s="67" t="b">
        <v>1</v>
      </c>
      <c r="N895" s="67" t="b">
        <v>1</v>
      </c>
      <c r="S895" s="8"/>
    </row>
    <row r="896" spans="1:24" ht="12.5">
      <c r="A896" s="4" t="s">
        <v>5</v>
      </c>
      <c r="B896" s="4" t="s">
        <v>119</v>
      </c>
      <c r="C896" s="4" t="s">
        <v>2128</v>
      </c>
      <c r="E896" s="4" t="s">
        <v>2129</v>
      </c>
      <c r="F896" s="4" t="s">
        <v>2130</v>
      </c>
      <c r="G896" s="32">
        <v>46042</v>
      </c>
      <c r="H896" s="9" t="s">
        <v>956</v>
      </c>
      <c r="I896" s="4" t="s">
        <v>459</v>
      </c>
      <c r="J896" s="4"/>
      <c r="K896" s="67" t="b">
        <v>1</v>
      </c>
      <c r="L896" s="4"/>
      <c r="M896" s="4"/>
      <c r="N896" s="67" t="b">
        <v>1</v>
      </c>
      <c r="O896" s="4"/>
      <c r="P896" s="4"/>
      <c r="Q896" s="4"/>
      <c r="R896" s="4"/>
      <c r="S896" s="8"/>
    </row>
    <row r="897" spans="1:24" ht="12.5">
      <c r="A897" s="4" t="s">
        <v>240</v>
      </c>
      <c r="B897" s="4" t="s">
        <v>398</v>
      </c>
      <c r="C897" s="4" t="s">
        <v>2131</v>
      </c>
      <c r="E897" s="4" t="s">
        <v>2132</v>
      </c>
      <c r="F897" s="4" t="s">
        <v>70</v>
      </c>
      <c r="G897" s="32">
        <v>46042</v>
      </c>
      <c r="H897" s="9" t="s">
        <v>956</v>
      </c>
      <c r="I897" s="4" t="s">
        <v>941</v>
      </c>
      <c r="J897" s="4"/>
      <c r="K897" s="67" t="b">
        <v>1</v>
      </c>
      <c r="L897" s="4"/>
      <c r="M897" s="4"/>
      <c r="N897" s="67" t="b">
        <v>1</v>
      </c>
      <c r="O897" s="4"/>
      <c r="P897" s="4"/>
      <c r="Q897" s="67" t="b">
        <v>1</v>
      </c>
      <c r="R897" s="4"/>
      <c r="S897" s="4"/>
      <c r="T897" s="33"/>
      <c r="U897" s="6"/>
      <c r="X897" s="8"/>
    </row>
    <row r="898" spans="1:24" ht="12.5">
      <c r="A898" s="9" t="s">
        <v>5</v>
      </c>
      <c r="B898" s="4" t="s">
        <v>119</v>
      </c>
      <c r="C898" s="4" t="s">
        <v>2133</v>
      </c>
      <c r="D898" s="4" t="s">
        <v>2134</v>
      </c>
      <c r="E898" s="4">
        <v>34696388254</v>
      </c>
      <c r="F898" s="4" t="s">
        <v>8</v>
      </c>
      <c r="G898" s="32">
        <v>46042</v>
      </c>
      <c r="H898" s="9" t="s">
        <v>956</v>
      </c>
      <c r="I898" s="4" t="s">
        <v>448</v>
      </c>
      <c r="J898" s="4"/>
      <c r="K898" s="67" t="b">
        <v>1</v>
      </c>
      <c r="L898" s="4"/>
      <c r="M898" s="4"/>
      <c r="N898" s="67" t="b">
        <v>1</v>
      </c>
      <c r="O898" s="4"/>
      <c r="P898" s="4"/>
      <c r="Q898" s="4"/>
      <c r="R898" s="4"/>
      <c r="S898" s="4" t="s">
        <v>119</v>
      </c>
      <c r="T898" s="33">
        <v>46045</v>
      </c>
      <c r="U898" s="6">
        <v>269</v>
      </c>
      <c r="V898" s="7">
        <v>0.3</v>
      </c>
      <c r="W898" s="4">
        <v>1</v>
      </c>
      <c r="X898" s="8">
        <v>46023</v>
      </c>
    </row>
    <row r="899" spans="1:24" ht="12.5">
      <c r="A899" s="9" t="s">
        <v>5</v>
      </c>
      <c r="B899" s="4" t="s">
        <v>398</v>
      </c>
      <c r="C899" s="9" t="s">
        <v>2135</v>
      </c>
      <c r="D899" s="9" t="s">
        <v>2136</v>
      </c>
      <c r="E899" s="29">
        <v>56987677728</v>
      </c>
      <c r="F899" s="9" t="s">
        <v>94</v>
      </c>
      <c r="G899" s="43">
        <v>46043</v>
      </c>
      <c r="H899" s="9" t="s">
        <v>856</v>
      </c>
      <c r="I899" s="9" t="s">
        <v>448</v>
      </c>
      <c r="J899" s="9"/>
      <c r="K899" s="67" t="b">
        <v>1</v>
      </c>
      <c r="L899" s="9"/>
      <c r="M899" s="9"/>
      <c r="N899" s="67" t="b">
        <v>1</v>
      </c>
      <c r="O899" s="9"/>
      <c r="P899" s="9"/>
      <c r="Q899" s="9"/>
      <c r="R899" s="9"/>
      <c r="S899" s="44" t="s">
        <v>119</v>
      </c>
      <c r="T899" s="45">
        <v>46043</v>
      </c>
      <c r="U899" s="28">
        <v>137.5</v>
      </c>
      <c r="V899" s="29">
        <v>0</v>
      </c>
      <c r="W899" s="29">
        <v>1</v>
      </c>
      <c r="X899" s="31">
        <v>46054</v>
      </c>
    </row>
    <row r="900" spans="1:24" ht="12.5">
      <c r="A900" s="9" t="s">
        <v>5</v>
      </c>
      <c r="B900" s="4" t="s">
        <v>119</v>
      </c>
      <c r="C900" s="9" t="s">
        <v>2137</v>
      </c>
      <c r="D900" s="9"/>
      <c r="E900" s="9" t="s">
        <v>2138</v>
      </c>
      <c r="F900" s="9" t="s">
        <v>2139</v>
      </c>
      <c r="G900" s="43">
        <v>46043</v>
      </c>
      <c r="H900" s="9" t="s">
        <v>979</v>
      </c>
      <c r="I900" s="9" t="s">
        <v>459</v>
      </c>
      <c r="J900" s="9"/>
      <c r="K900" s="67" t="b">
        <v>1</v>
      </c>
      <c r="L900" s="9"/>
      <c r="M900" s="9"/>
      <c r="N900" s="67" t="b">
        <v>1</v>
      </c>
      <c r="O900" s="9"/>
      <c r="P900" s="9"/>
      <c r="Q900" s="9"/>
      <c r="R900" s="9"/>
      <c r="S900" s="44"/>
      <c r="T900" s="9"/>
      <c r="U900" s="9"/>
      <c r="V900" s="9"/>
      <c r="W900" s="9"/>
      <c r="X900" s="9"/>
    </row>
    <row r="901" spans="1:24" ht="12.5">
      <c r="A901" s="9" t="s">
        <v>5</v>
      </c>
      <c r="B901" s="4" t="s">
        <v>398</v>
      </c>
      <c r="C901" s="9" t="s">
        <v>2140</v>
      </c>
      <c r="D901" s="9" t="s">
        <v>2141</v>
      </c>
      <c r="E901" s="9">
        <v>182918295719025</v>
      </c>
      <c r="F901" s="9" t="s">
        <v>319</v>
      </c>
      <c r="G901" s="43">
        <v>46043</v>
      </c>
      <c r="H901" s="9" t="s">
        <v>856</v>
      </c>
      <c r="I901" s="9" t="s">
        <v>459</v>
      </c>
      <c r="J901" s="9"/>
      <c r="K901" s="67" t="b">
        <v>0</v>
      </c>
      <c r="L901" s="68" t="b">
        <v>1</v>
      </c>
      <c r="M901" s="9"/>
      <c r="N901" s="67" t="b">
        <v>1</v>
      </c>
      <c r="O901" s="9"/>
      <c r="P901" s="9"/>
      <c r="Q901" s="9"/>
      <c r="R901" s="9"/>
      <c r="S901" s="44"/>
      <c r="T901" s="9"/>
      <c r="U901" s="9"/>
      <c r="V901" s="9"/>
      <c r="W901" s="9"/>
      <c r="X901" s="9"/>
    </row>
    <row r="902" spans="1:24" ht="12.5">
      <c r="A902" s="9" t="s">
        <v>5</v>
      </c>
      <c r="B902" s="4" t="s">
        <v>119</v>
      </c>
      <c r="C902" s="9" t="s">
        <v>2142</v>
      </c>
      <c r="D902" s="9" t="s">
        <v>2143</v>
      </c>
      <c r="E902" s="9">
        <v>1128321760</v>
      </c>
      <c r="F902" s="9" t="s">
        <v>121</v>
      </c>
      <c r="G902" s="43">
        <v>46043</v>
      </c>
      <c r="H902" s="9" t="s">
        <v>856</v>
      </c>
      <c r="I902" s="9" t="s">
        <v>459</v>
      </c>
      <c r="J902" s="9"/>
      <c r="K902" s="67" t="b">
        <v>0</v>
      </c>
      <c r="L902" s="68" t="b">
        <v>1</v>
      </c>
      <c r="M902" s="9"/>
      <c r="N902" s="67" t="b">
        <v>1</v>
      </c>
      <c r="O902" s="9"/>
      <c r="P902" s="9"/>
      <c r="Q902" s="9"/>
      <c r="R902" s="9"/>
      <c r="S902" s="44"/>
      <c r="T902" s="9"/>
      <c r="U902" s="9"/>
      <c r="V902" s="9"/>
      <c r="W902" s="9"/>
      <c r="X902" s="9"/>
    </row>
    <row r="903" spans="1:24" ht="12.5">
      <c r="A903" s="9" t="s">
        <v>5</v>
      </c>
      <c r="B903" s="4" t="s">
        <v>398</v>
      </c>
      <c r="C903" s="91" t="s">
        <v>2144</v>
      </c>
      <c r="E903" s="4" t="s">
        <v>2145</v>
      </c>
      <c r="G903" s="43">
        <v>46043</v>
      </c>
      <c r="H903" s="9" t="s">
        <v>979</v>
      </c>
      <c r="I903" s="4" t="s">
        <v>459</v>
      </c>
      <c r="J903" s="4"/>
      <c r="K903" s="67" t="b">
        <v>1</v>
      </c>
      <c r="L903" s="4"/>
      <c r="M903" s="4"/>
      <c r="N903" s="67" t="b">
        <v>1</v>
      </c>
      <c r="O903" s="4"/>
      <c r="P903" s="4"/>
      <c r="Q903" s="4"/>
      <c r="R903" s="4"/>
      <c r="S903" s="8"/>
    </row>
    <row r="904" spans="1:24" ht="12.5">
      <c r="A904" s="9" t="s">
        <v>5</v>
      </c>
      <c r="B904" s="4" t="s">
        <v>119</v>
      </c>
      <c r="C904" s="91" t="s">
        <v>2146</v>
      </c>
      <c r="D904" s="4" t="s">
        <v>2147</v>
      </c>
      <c r="E904" s="4">
        <v>34677555465</v>
      </c>
      <c r="F904" s="4" t="s">
        <v>292</v>
      </c>
      <c r="G904" s="43">
        <v>46043</v>
      </c>
      <c r="H904" s="9" t="s">
        <v>856</v>
      </c>
      <c r="I904" s="4" t="s">
        <v>459</v>
      </c>
      <c r="K904" s="67" t="b">
        <v>1</v>
      </c>
      <c r="S904" s="8"/>
    </row>
    <row r="905" spans="1:24" ht="12.5">
      <c r="A905" s="9" t="s">
        <v>5</v>
      </c>
      <c r="B905" s="4" t="s">
        <v>398</v>
      </c>
      <c r="C905" s="91" t="s">
        <v>2148</v>
      </c>
      <c r="D905" s="4" t="s">
        <v>2149</v>
      </c>
      <c r="E905" s="4">
        <v>16468249120</v>
      </c>
      <c r="F905" s="4" t="s">
        <v>319</v>
      </c>
      <c r="G905" s="43">
        <v>46044</v>
      </c>
      <c r="H905" s="9" t="s">
        <v>856</v>
      </c>
      <c r="I905" s="4" t="s">
        <v>459</v>
      </c>
      <c r="K905" s="67" t="b">
        <v>1</v>
      </c>
      <c r="S905" s="8"/>
    </row>
    <row r="906" spans="1:24" ht="12.5">
      <c r="A906" s="9" t="s">
        <v>5</v>
      </c>
      <c r="B906" s="4" t="s">
        <v>119</v>
      </c>
      <c r="C906" s="91" t="s">
        <v>2150</v>
      </c>
      <c r="D906" s="4" t="s">
        <v>2151</v>
      </c>
      <c r="E906" s="4">
        <v>34629929918</v>
      </c>
      <c r="F906" s="4" t="s">
        <v>1965</v>
      </c>
      <c r="G906" s="43">
        <v>46044</v>
      </c>
      <c r="H906" s="9" t="s">
        <v>856</v>
      </c>
      <c r="I906" s="4" t="s">
        <v>459</v>
      </c>
      <c r="K906" s="67" t="b">
        <v>1</v>
      </c>
      <c r="S906" s="8"/>
    </row>
    <row r="907" spans="1:24" ht="12.5">
      <c r="A907" s="9" t="s">
        <v>5</v>
      </c>
      <c r="B907" s="4" t="s">
        <v>398</v>
      </c>
      <c r="C907" s="91" t="s">
        <v>2152</v>
      </c>
      <c r="D907" s="4" t="s">
        <v>286</v>
      </c>
      <c r="E907" s="4">
        <v>34680129702</v>
      </c>
      <c r="F907" s="4" t="s">
        <v>82</v>
      </c>
      <c r="G907" s="43">
        <v>46044</v>
      </c>
      <c r="H907" s="9" t="s">
        <v>856</v>
      </c>
      <c r="I907" s="4" t="s">
        <v>459</v>
      </c>
      <c r="K907" s="67" t="b">
        <v>0</v>
      </c>
      <c r="S907" s="8"/>
    </row>
    <row r="908" spans="1:24" ht="12.5">
      <c r="A908" s="9" t="s">
        <v>5</v>
      </c>
      <c r="B908" s="4" t="s">
        <v>119</v>
      </c>
      <c r="C908" s="91" t="s">
        <v>2153</v>
      </c>
      <c r="D908" s="4" t="s">
        <v>2154</v>
      </c>
      <c r="E908" s="4">
        <v>34617450046</v>
      </c>
      <c r="F908" s="4" t="s">
        <v>2155</v>
      </c>
      <c r="G908" s="43">
        <v>46044</v>
      </c>
      <c r="H908" s="9" t="s">
        <v>856</v>
      </c>
      <c r="I908" s="4" t="s">
        <v>459</v>
      </c>
      <c r="K908" s="67" t="b">
        <v>0</v>
      </c>
      <c r="S908" s="8"/>
    </row>
    <row r="909" spans="1:24" ht="12.5">
      <c r="A909" s="9" t="s">
        <v>5</v>
      </c>
      <c r="B909" s="4" t="s">
        <v>398</v>
      </c>
      <c r="C909" s="91" t="s">
        <v>2156</v>
      </c>
      <c r="D909" s="4" t="s">
        <v>2157</v>
      </c>
      <c r="E909" s="4">
        <v>15419710100</v>
      </c>
      <c r="F909" s="4" t="s">
        <v>94</v>
      </c>
      <c r="G909" s="43">
        <v>46044</v>
      </c>
      <c r="H909" s="9" t="s">
        <v>856</v>
      </c>
      <c r="I909" s="4" t="s">
        <v>459</v>
      </c>
      <c r="K909" s="67" t="b">
        <v>0</v>
      </c>
      <c r="S909" s="8"/>
    </row>
    <row r="910" spans="1:24" ht="12.5">
      <c r="A910" s="9" t="s">
        <v>5</v>
      </c>
      <c r="B910" s="4" t="s">
        <v>119</v>
      </c>
      <c r="C910" s="91" t="s">
        <v>2158</v>
      </c>
      <c r="D910" s="4" t="s">
        <v>2159</v>
      </c>
      <c r="E910" s="4">
        <v>34658499494</v>
      </c>
      <c r="F910" s="4" t="s">
        <v>1112</v>
      </c>
      <c r="G910" s="43">
        <v>46044</v>
      </c>
      <c r="H910" s="9" t="s">
        <v>856</v>
      </c>
      <c r="I910" s="4" t="s">
        <v>459</v>
      </c>
      <c r="K910" s="67" t="b">
        <v>0</v>
      </c>
      <c r="S910" s="8"/>
    </row>
    <row r="911" spans="1:24" ht="12.5">
      <c r="A911" s="9" t="s">
        <v>5</v>
      </c>
      <c r="B911" s="4" t="s">
        <v>398</v>
      </c>
      <c r="C911" s="91" t="s">
        <v>2160</v>
      </c>
      <c r="D911" s="4" t="s">
        <v>2161</v>
      </c>
      <c r="E911" s="4">
        <v>34615610855</v>
      </c>
      <c r="F911" s="4" t="s">
        <v>8</v>
      </c>
      <c r="G911" s="43">
        <v>46044</v>
      </c>
      <c r="H911" s="9" t="s">
        <v>856</v>
      </c>
      <c r="I911" s="4" t="s">
        <v>459</v>
      </c>
      <c r="K911" s="67" t="b">
        <v>0</v>
      </c>
      <c r="S911" s="8"/>
    </row>
    <row r="912" spans="1:24" ht="12.5">
      <c r="A912" s="9" t="s">
        <v>5</v>
      </c>
      <c r="B912" s="4" t="s">
        <v>119</v>
      </c>
      <c r="C912" s="91" t="s">
        <v>2162</v>
      </c>
      <c r="D912" s="4" t="s">
        <v>2163</v>
      </c>
      <c r="E912" s="4">
        <v>56982872444</v>
      </c>
      <c r="F912" s="4" t="s">
        <v>70</v>
      </c>
      <c r="G912" s="43">
        <v>46044</v>
      </c>
      <c r="H912" s="9" t="s">
        <v>856</v>
      </c>
      <c r="I912" s="4" t="s">
        <v>459</v>
      </c>
      <c r="K912" s="67" t="b">
        <v>1</v>
      </c>
      <c r="S912" s="8"/>
    </row>
    <row r="913" spans="1:24" ht="12.5">
      <c r="A913" s="9" t="s">
        <v>5</v>
      </c>
      <c r="B913" s="4" t="s">
        <v>398</v>
      </c>
      <c r="C913" s="91" t="s">
        <v>2164</v>
      </c>
      <c r="D913" s="4" t="s">
        <v>2165</v>
      </c>
      <c r="E913" s="4">
        <v>593987571203</v>
      </c>
      <c r="F913" s="4" t="s">
        <v>393</v>
      </c>
      <c r="G913" s="43">
        <v>46045</v>
      </c>
      <c r="H913" s="9" t="s">
        <v>856</v>
      </c>
      <c r="I913" s="4" t="s">
        <v>459</v>
      </c>
      <c r="J913" s="68" t="b">
        <v>1</v>
      </c>
      <c r="K913" s="67" t="b">
        <v>1</v>
      </c>
      <c r="S913" s="8"/>
    </row>
    <row r="914" spans="1:24" ht="12.5">
      <c r="A914" s="9" t="s">
        <v>5</v>
      </c>
      <c r="B914" s="4" t="s">
        <v>119</v>
      </c>
      <c r="C914" s="91" t="s">
        <v>2166</v>
      </c>
      <c r="D914" s="4" t="s">
        <v>2167</v>
      </c>
      <c r="E914" s="4">
        <v>34626144024</v>
      </c>
      <c r="F914" s="4" t="s">
        <v>2168</v>
      </c>
      <c r="G914" s="43">
        <v>46045</v>
      </c>
      <c r="H914" s="9" t="s">
        <v>856</v>
      </c>
      <c r="I914" s="4" t="s">
        <v>459</v>
      </c>
      <c r="K914" s="67" t="b">
        <v>1</v>
      </c>
      <c r="S914" s="8"/>
    </row>
    <row r="915" spans="1:24" ht="12.5">
      <c r="A915" s="9" t="s">
        <v>5</v>
      </c>
      <c r="B915" s="4" t="s">
        <v>398</v>
      </c>
      <c r="C915" s="91" t="s">
        <v>2169</v>
      </c>
      <c r="D915" s="4" t="s">
        <v>2170</v>
      </c>
      <c r="E915" s="4">
        <v>34655579706</v>
      </c>
      <c r="F915" s="4" t="s">
        <v>8</v>
      </c>
      <c r="G915" s="43">
        <v>46045</v>
      </c>
      <c r="H915" s="9" t="s">
        <v>856</v>
      </c>
      <c r="I915" s="4" t="s">
        <v>459</v>
      </c>
      <c r="K915" s="67" t="b">
        <v>1</v>
      </c>
      <c r="S915" s="8"/>
    </row>
    <row r="916" spans="1:24" ht="12.5">
      <c r="A916" s="9" t="s">
        <v>5</v>
      </c>
      <c r="B916" s="4" t="s">
        <v>119</v>
      </c>
      <c r="C916" s="91" t="s">
        <v>2171</v>
      </c>
      <c r="D916" s="4" t="s">
        <v>2172</v>
      </c>
      <c r="E916" s="4">
        <v>13462139592</v>
      </c>
      <c r="F916" s="4" t="s">
        <v>8</v>
      </c>
      <c r="G916" s="43">
        <v>46045</v>
      </c>
      <c r="H916" s="9" t="s">
        <v>856</v>
      </c>
      <c r="I916" s="4" t="s">
        <v>448</v>
      </c>
      <c r="K916" s="67" t="b">
        <v>1</v>
      </c>
      <c r="S916" s="4" t="s">
        <v>119</v>
      </c>
      <c r="T916" s="33">
        <v>46045</v>
      </c>
      <c r="U916" s="6">
        <v>209</v>
      </c>
      <c r="V916" s="7">
        <v>0.3</v>
      </c>
      <c r="W916" s="4">
        <v>1</v>
      </c>
      <c r="X916" s="8">
        <v>46023</v>
      </c>
    </row>
    <row r="917" spans="1:24" ht="12.5">
      <c r="A917" s="9" t="s">
        <v>381</v>
      </c>
      <c r="B917" s="4" t="s">
        <v>398</v>
      </c>
      <c r="C917" s="91" t="s">
        <v>2173</v>
      </c>
      <c r="D917" s="4" t="s">
        <v>2174</v>
      </c>
      <c r="E917" s="4">
        <v>34686846972</v>
      </c>
      <c r="F917" s="4" t="s">
        <v>2175</v>
      </c>
      <c r="G917" s="43">
        <v>46045</v>
      </c>
      <c r="H917" s="9" t="s">
        <v>856</v>
      </c>
      <c r="I917" s="4" t="s">
        <v>459</v>
      </c>
      <c r="K917" s="67" t="b">
        <v>1</v>
      </c>
      <c r="S917" s="8"/>
    </row>
    <row r="918" spans="1:24" ht="12.5">
      <c r="A918" s="9" t="s">
        <v>381</v>
      </c>
      <c r="B918" s="4" t="s">
        <v>119</v>
      </c>
      <c r="C918" s="91" t="s">
        <v>2176</v>
      </c>
      <c r="D918" s="4" t="s">
        <v>2177</v>
      </c>
      <c r="E918" s="4">
        <v>50498110521</v>
      </c>
      <c r="F918" s="4" t="s">
        <v>2178</v>
      </c>
      <c r="G918" s="43">
        <v>46045</v>
      </c>
      <c r="H918" s="9" t="s">
        <v>856</v>
      </c>
      <c r="I918" s="4" t="s">
        <v>459</v>
      </c>
      <c r="K918" s="67" t="b">
        <v>1</v>
      </c>
      <c r="S918" s="8"/>
    </row>
    <row r="919" spans="1:24" ht="12.5">
      <c r="A919" s="9" t="s">
        <v>5</v>
      </c>
      <c r="B919" s="4" t="s">
        <v>398</v>
      </c>
      <c r="C919" s="91" t="s">
        <v>2179</v>
      </c>
      <c r="D919" s="4" t="s">
        <v>2180</v>
      </c>
      <c r="E919" s="4">
        <v>19513146872</v>
      </c>
      <c r="F919" s="4" t="s">
        <v>1302</v>
      </c>
      <c r="G919" s="43">
        <v>46046</v>
      </c>
      <c r="H919" s="9" t="s">
        <v>856</v>
      </c>
      <c r="I919" s="4" t="s">
        <v>459</v>
      </c>
      <c r="K919" s="67" t="b">
        <v>1</v>
      </c>
      <c r="S919" s="8"/>
    </row>
    <row r="920" spans="1:24" ht="12.5">
      <c r="A920" s="9" t="s">
        <v>5</v>
      </c>
      <c r="B920" s="4" t="s">
        <v>119</v>
      </c>
      <c r="C920" s="91" t="s">
        <v>2181</v>
      </c>
      <c r="D920" s="4" t="s">
        <v>2182</v>
      </c>
      <c r="E920" s="4">
        <v>34646015984</v>
      </c>
      <c r="F920" s="4" t="s">
        <v>298</v>
      </c>
      <c r="G920" s="43">
        <v>46047</v>
      </c>
      <c r="H920" s="9" t="s">
        <v>856</v>
      </c>
      <c r="I920" s="4" t="s">
        <v>459</v>
      </c>
      <c r="K920" s="67" t="b">
        <v>1</v>
      </c>
      <c r="S920" s="8"/>
    </row>
    <row r="921" spans="1:24" ht="12.5">
      <c r="A921" s="9" t="s">
        <v>5</v>
      </c>
      <c r="B921" s="4" t="s">
        <v>398</v>
      </c>
      <c r="C921" s="91" t="s">
        <v>2183</v>
      </c>
      <c r="D921" s="4" t="s">
        <v>2184</v>
      </c>
      <c r="E921" s="4">
        <v>34609526627</v>
      </c>
      <c r="F921" s="4" t="s">
        <v>1759</v>
      </c>
      <c r="G921" s="43">
        <v>46047</v>
      </c>
      <c r="H921" s="9" t="s">
        <v>856</v>
      </c>
      <c r="I921" s="4" t="s">
        <v>459</v>
      </c>
      <c r="K921" s="67" t="b">
        <v>1</v>
      </c>
      <c r="S921" s="8"/>
    </row>
    <row r="922" spans="1:24" ht="12.5">
      <c r="A922" s="9" t="s">
        <v>5</v>
      </c>
      <c r="B922" s="4" t="s">
        <v>119</v>
      </c>
      <c r="C922" s="91" t="s">
        <v>2183</v>
      </c>
      <c r="D922" s="4" t="s">
        <v>2184</v>
      </c>
      <c r="E922" s="4">
        <v>34609526627</v>
      </c>
      <c r="F922" s="4" t="s">
        <v>1759</v>
      </c>
      <c r="G922" s="43">
        <v>46047</v>
      </c>
      <c r="H922" s="9" t="s">
        <v>856</v>
      </c>
      <c r="I922" s="4" t="s">
        <v>459</v>
      </c>
      <c r="K922" s="67" t="b">
        <v>1</v>
      </c>
      <c r="S922" s="8"/>
    </row>
    <row r="923" spans="1:24" ht="12.5">
      <c r="A923" s="9" t="s">
        <v>5</v>
      </c>
      <c r="B923" s="4" t="s">
        <v>398</v>
      </c>
      <c r="C923" s="91" t="s">
        <v>2183</v>
      </c>
      <c r="D923" s="4" t="s">
        <v>2184</v>
      </c>
      <c r="E923" s="4">
        <v>34609526627</v>
      </c>
      <c r="F923" s="4" t="s">
        <v>1759</v>
      </c>
      <c r="G923" s="43">
        <v>46047</v>
      </c>
      <c r="H923" s="9" t="s">
        <v>856</v>
      </c>
      <c r="I923" s="4" t="s">
        <v>459</v>
      </c>
      <c r="K923" s="67" t="b">
        <v>1</v>
      </c>
      <c r="S923" s="8"/>
    </row>
    <row r="924" spans="1:24" ht="12.5">
      <c r="A924" s="9" t="s">
        <v>5</v>
      </c>
      <c r="B924" s="4" t="s">
        <v>119</v>
      </c>
      <c r="C924" s="91" t="s">
        <v>2185</v>
      </c>
      <c r="D924" s="4" t="s">
        <v>2186</v>
      </c>
      <c r="E924" s="4">
        <v>573184844533</v>
      </c>
      <c r="F924" s="4" t="s">
        <v>2187</v>
      </c>
      <c r="G924" s="43">
        <v>46047</v>
      </c>
      <c r="H924" s="9" t="s">
        <v>856</v>
      </c>
      <c r="I924" s="4" t="s">
        <v>459</v>
      </c>
      <c r="K924" s="67" t="b">
        <v>1</v>
      </c>
      <c r="S924" s="8"/>
    </row>
    <row r="925" spans="1:24" ht="12.5">
      <c r="A925" s="9" t="s">
        <v>5</v>
      </c>
      <c r="B925" s="4" t="s">
        <v>398</v>
      </c>
      <c r="C925" s="91" t="s">
        <v>2188</v>
      </c>
      <c r="D925" s="4" t="s">
        <v>2189</v>
      </c>
      <c r="E925" s="4">
        <v>59177137934</v>
      </c>
      <c r="F925" s="4" t="s">
        <v>1965</v>
      </c>
      <c r="G925" s="43">
        <v>46047</v>
      </c>
      <c r="H925" s="9" t="s">
        <v>856</v>
      </c>
      <c r="I925" s="4" t="s">
        <v>459</v>
      </c>
      <c r="K925" s="67" t="b">
        <v>1</v>
      </c>
      <c r="S925" s="8"/>
    </row>
    <row r="926" spans="1:24" ht="12.5">
      <c r="A926" s="9" t="s">
        <v>381</v>
      </c>
      <c r="B926" s="4" t="s">
        <v>119</v>
      </c>
      <c r="C926" s="91" t="s">
        <v>2190</v>
      </c>
      <c r="D926" s="4" t="s">
        <v>2191</v>
      </c>
      <c r="E926" s="4">
        <v>573012814521</v>
      </c>
      <c r="F926" s="4" t="s">
        <v>2192</v>
      </c>
      <c r="G926" s="43">
        <v>46048</v>
      </c>
      <c r="H926" s="9" t="s">
        <v>856</v>
      </c>
      <c r="I926" s="4" t="s">
        <v>459</v>
      </c>
      <c r="K926" s="67" t="b">
        <v>1</v>
      </c>
      <c r="S926" s="8"/>
    </row>
    <row r="927" spans="1:24" ht="12.5">
      <c r="A927" s="9" t="s">
        <v>5</v>
      </c>
      <c r="B927" s="4" t="s">
        <v>398</v>
      </c>
      <c r="C927" s="91" t="s">
        <v>2193</v>
      </c>
      <c r="D927" s="4" t="s">
        <v>2194</v>
      </c>
      <c r="E927" s="4">
        <v>34665242016</v>
      </c>
      <c r="F927" s="4" t="s">
        <v>1521</v>
      </c>
      <c r="G927" s="43">
        <v>46048</v>
      </c>
      <c r="H927" s="9" t="s">
        <v>856</v>
      </c>
      <c r="I927" s="4" t="s">
        <v>459</v>
      </c>
      <c r="K927" s="67" t="b">
        <v>1</v>
      </c>
      <c r="S927" s="8"/>
    </row>
    <row r="928" spans="1:24" ht="12.5">
      <c r="A928" s="9" t="s">
        <v>5</v>
      </c>
      <c r="B928" s="4" t="s">
        <v>119</v>
      </c>
      <c r="C928" s="91" t="s">
        <v>2195</v>
      </c>
      <c r="D928" s="4" t="s">
        <v>2196</v>
      </c>
      <c r="E928" s="4">
        <v>34677221106</v>
      </c>
      <c r="F928" s="4" t="s">
        <v>289</v>
      </c>
      <c r="G928" s="43">
        <v>46048</v>
      </c>
      <c r="H928" s="9" t="s">
        <v>856</v>
      </c>
      <c r="I928" s="4" t="s">
        <v>459</v>
      </c>
      <c r="K928" s="67" t="b">
        <v>1</v>
      </c>
      <c r="S928" s="8"/>
    </row>
    <row r="929" spans="1:24" ht="12.5">
      <c r="A929" s="9" t="s">
        <v>5</v>
      </c>
      <c r="B929" s="4" t="s">
        <v>398</v>
      </c>
      <c r="C929" s="4" t="s">
        <v>2197</v>
      </c>
      <c r="E929" s="4" t="s">
        <v>2198</v>
      </c>
      <c r="F929" s="4" t="s">
        <v>2199</v>
      </c>
      <c r="G929" s="43">
        <v>46048</v>
      </c>
      <c r="H929" s="9" t="s">
        <v>956</v>
      </c>
      <c r="I929" s="4" t="s">
        <v>459</v>
      </c>
      <c r="J929" s="68" t="b">
        <v>1</v>
      </c>
      <c r="K929" s="67" t="b">
        <v>1</v>
      </c>
      <c r="L929" s="4"/>
      <c r="M929" s="4"/>
      <c r="N929" s="67" t="b">
        <v>1</v>
      </c>
      <c r="O929" s="4"/>
      <c r="P929" s="4"/>
      <c r="Q929" s="4"/>
      <c r="R929" s="4"/>
      <c r="S929" s="8"/>
    </row>
    <row r="930" spans="1:24" ht="12.5">
      <c r="A930" s="9" t="s">
        <v>381</v>
      </c>
      <c r="B930" s="4" t="s">
        <v>119</v>
      </c>
      <c r="C930" s="4" t="s">
        <v>2200</v>
      </c>
      <c r="D930" s="4" t="s">
        <v>2201</v>
      </c>
      <c r="E930" s="4">
        <v>22902585228</v>
      </c>
      <c r="F930" s="4" t="s">
        <v>2175</v>
      </c>
      <c r="G930" s="32">
        <v>46048</v>
      </c>
      <c r="H930" s="4" t="s">
        <v>856</v>
      </c>
      <c r="I930" s="4" t="s">
        <v>459</v>
      </c>
      <c r="J930" s="68" t="b">
        <v>1</v>
      </c>
      <c r="K930" s="67" t="b">
        <v>1</v>
      </c>
      <c r="N930" s="67" t="b">
        <v>1</v>
      </c>
      <c r="S930" s="8"/>
    </row>
    <row r="931" spans="1:24" ht="12.5">
      <c r="A931" s="9" t="s">
        <v>381</v>
      </c>
      <c r="B931" s="4" t="s">
        <v>398</v>
      </c>
      <c r="C931" s="4" t="s">
        <v>2202</v>
      </c>
      <c r="D931" s="4" t="s">
        <v>2203</v>
      </c>
      <c r="E931" s="4">
        <v>699921016</v>
      </c>
      <c r="F931" s="4" t="s">
        <v>2192</v>
      </c>
      <c r="G931" s="32">
        <v>46048</v>
      </c>
      <c r="H931" s="4" t="s">
        <v>856</v>
      </c>
      <c r="I931" s="4" t="s">
        <v>459</v>
      </c>
      <c r="K931" s="67" t="b">
        <v>1</v>
      </c>
      <c r="N931" s="67" t="b">
        <v>1</v>
      </c>
      <c r="S931" s="8"/>
    </row>
    <row r="932" spans="1:24" ht="12.5">
      <c r="A932" s="9" t="s">
        <v>5</v>
      </c>
      <c r="B932" s="4" t="s">
        <v>119</v>
      </c>
      <c r="C932" s="4" t="s">
        <v>2204</v>
      </c>
      <c r="D932" s="4" t="s">
        <v>2205</v>
      </c>
      <c r="E932" s="4">
        <v>543815290225</v>
      </c>
      <c r="F932" s="4" t="s">
        <v>319</v>
      </c>
      <c r="G932" s="32">
        <v>46049</v>
      </c>
      <c r="H932" s="4" t="s">
        <v>856</v>
      </c>
      <c r="I932" s="4" t="s">
        <v>459</v>
      </c>
      <c r="K932" s="67" t="b">
        <v>1</v>
      </c>
      <c r="N932" s="67" t="b">
        <v>1</v>
      </c>
      <c r="S932" s="8"/>
    </row>
    <row r="933" spans="1:24" ht="12.5">
      <c r="A933" s="9" t="s">
        <v>5</v>
      </c>
      <c r="B933" s="4" t="s">
        <v>398</v>
      </c>
      <c r="C933" s="4" t="s">
        <v>2206</v>
      </c>
      <c r="D933" s="4" t="s">
        <v>2207</v>
      </c>
      <c r="E933" s="4">
        <v>56945073201</v>
      </c>
      <c r="F933" s="4" t="s">
        <v>319</v>
      </c>
      <c r="G933" s="32">
        <v>46049</v>
      </c>
      <c r="H933" s="4" t="s">
        <v>856</v>
      </c>
      <c r="I933" s="4" t="s">
        <v>459</v>
      </c>
      <c r="K933" s="67" t="b">
        <v>1</v>
      </c>
      <c r="N933" s="67" t="b">
        <v>1</v>
      </c>
      <c r="S933" s="8"/>
    </row>
    <row r="934" spans="1:24" ht="12.5">
      <c r="A934" s="9" t="s">
        <v>5</v>
      </c>
      <c r="B934" s="4" t="s">
        <v>119</v>
      </c>
      <c r="C934" s="4" t="s">
        <v>2208</v>
      </c>
      <c r="D934" s="4" t="s">
        <v>2209</v>
      </c>
      <c r="E934" s="4">
        <v>34695462959</v>
      </c>
      <c r="F934" s="4" t="s">
        <v>70</v>
      </c>
      <c r="G934" s="32">
        <v>46049</v>
      </c>
      <c r="H934" s="4" t="s">
        <v>856</v>
      </c>
      <c r="I934" s="4" t="s">
        <v>459</v>
      </c>
      <c r="K934" s="67" t="b">
        <v>1</v>
      </c>
      <c r="N934" s="67" t="b">
        <v>1</v>
      </c>
      <c r="S934" s="8"/>
    </row>
    <row r="935" spans="1:24" ht="12.5">
      <c r="A935" s="9" t="s">
        <v>381</v>
      </c>
      <c r="B935" s="4" t="s">
        <v>398</v>
      </c>
      <c r="C935" s="4" t="s">
        <v>2202</v>
      </c>
      <c r="D935" s="4" t="s">
        <v>2203</v>
      </c>
      <c r="E935" s="4">
        <v>34699921016</v>
      </c>
      <c r="F935" s="4" t="s">
        <v>2210</v>
      </c>
      <c r="G935" s="32">
        <v>46049</v>
      </c>
      <c r="H935" s="4" t="s">
        <v>856</v>
      </c>
      <c r="I935" s="4" t="s">
        <v>459</v>
      </c>
      <c r="K935" s="67" t="b">
        <v>1</v>
      </c>
      <c r="S935" s="8"/>
    </row>
    <row r="936" spans="1:24" ht="12.5">
      <c r="A936" s="9" t="s">
        <v>5</v>
      </c>
      <c r="B936" s="4" t="s">
        <v>119</v>
      </c>
      <c r="C936" s="4" t="s">
        <v>2211</v>
      </c>
      <c r="D936" s="4" t="s">
        <v>288</v>
      </c>
      <c r="E936" s="4">
        <v>34640243577</v>
      </c>
      <c r="F936" s="4" t="s">
        <v>289</v>
      </c>
      <c r="G936" s="32">
        <v>46049</v>
      </c>
      <c r="H936" s="4" t="s">
        <v>856</v>
      </c>
      <c r="I936" s="4" t="s">
        <v>448</v>
      </c>
      <c r="J936" s="68" t="b">
        <v>1</v>
      </c>
      <c r="K936" s="67" t="b">
        <v>1</v>
      </c>
      <c r="S936" s="4" t="s">
        <v>119</v>
      </c>
      <c r="T936" s="33">
        <v>46049</v>
      </c>
      <c r="U936" s="15">
        <v>350</v>
      </c>
      <c r="V936" s="4">
        <v>0</v>
      </c>
      <c r="W936" s="4">
        <v>1</v>
      </c>
      <c r="X936" s="8">
        <v>46023</v>
      </c>
    </row>
    <row r="937" spans="1:24" ht="12.5">
      <c r="A937" s="9" t="s">
        <v>5</v>
      </c>
      <c r="B937" s="4" t="s">
        <v>398</v>
      </c>
      <c r="C937" s="4" t="s">
        <v>778</v>
      </c>
      <c r="D937" s="4" t="s">
        <v>779</v>
      </c>
      <c r="E937" s="4">
        <v>541150484292</v>
      </c>
      <c r="F937" s="4" t="s">
        <v>343</v>
      </c>
      <c r="G937" s="32">
        <v>46049</v>
      </c>
      <c r="H937" s="4" t="s">
        <v>856</v>
      </c>
      <c r="I937" s="4" t="s">
        <v>459</v>
      </c>
      <c r="K937" s="67" t="b">
        <v>1</v>
      </c>
      <c r="S937" s="8"/>
    </row>
    <row r="938" spans="1:24" ht="12.5">
      <c r="A938" s="9" t="s">
        <v>381</v>
      </c>
      <c r="B938" s="4" t="s">
        <v>119</v>
      </c>
      <c r="C938" s="4" t="s">
        <v>2212</v>
      </c>
      <c r="D938" s="4" t="s">
        <v>2213</v>
      </c>
      <c r="E938" s="4">
        <v>573013393965</v>
      </c>
      <c r="F938" s="4" t="s">
        <v>420</v>
      </c>
      <c r="G938" s="32">
        <v>46049</v>
      </c>
      <c r="H938" s="4" t="s">
        <v>856</v>
      </c>
      <c r="I938" s="4" t="s">
        <v>459</v>
      </c>
      <c r="K938" s="67" t="b">
        <v>1</v>
      </c>
      <c r="S938" s="8"/>
    </row>
    <row r="939" spans="1:24" ht="12.5">
      <c r="A939" s="9" t="s">
        <v>5</v>
      </c>
      <c r="B939" s="4" t="s">
        <v>398</v>
      </c>
      <c r="C939" s="4" t="s">
        <v>2214</v>
      </c>
      <c r="D939" s="4" t="s">
        <v>2215</v>
      </c>
      <c r="E939" s="4">
        <v>56954039108</v>
      </c>
      <c r="F939" s="4" t="s">
        <v>319</v>
      </c>
      <c r="G939" s="32">
        <v>46049</v>
      </c>
      <c r="H939" s="4" t="s">
        <v>856</v>
      </c>
      <c r="I939" s="4" t="s">
        <v>459</v>
      </c>
      <c r="J939" s="68" t="b">
        <v>1</v>
      </c>
      <c r="K939" s="67" t="b">
        <v>1</v>
      </c>
      <c r="S939" s="8"/>
    </row>
    <row r="940" spans="1:24" ht="12.5">
      <c r="A940" s="9" t="s">
        <v>5</v>
      </c>
      <c r="B940" s="4" t="s">
        <v>119</v>
      </c>
      <c r="C940" s="4" t="s">
        <v>2216</v>
      </c>
      <c r="D940" s="4" t="s">
        <v>300</v>
      </c>
      <c r="E940" s="4">
        <v>34658370716</v>
      </c>
      <c r="F940" s="4" t="s">
        <v>70</v>
      </c>
      <c r="G940" s="32">
        <v>46049</v>
      </c>
      <c r="H940" s="4" t="s">
        <v>856</v>
      </c>
      <c r="I940" s="4" t="s">
        <v>459</v>
      </c>
      <c r="K940" s="67" t="b">
        <v>1</v>
      </c>
      <c r="N940" s="67" t="b">
        <v>1</v>
      </c>
      <c r="S940" s="8"/>
    </row>
    <row r="941" spans="1:24" ht="12.5">
      <c r="A941" s="9" t="s">
        <v>5</v>
      </c>
      <c r="B941" s="4" t="s">
        <v>398</v>
      </c>
      <c r="C941" s="4" t="s">
        <v>2217</v>
      </c>
      <c r="D941" s="4" t="s">
        <v>291</v>
      </c>
      <c r="E941" s="4">
        <v>573125915116</v>
      </c>
      <c r="F941" s="4" t="s">
        <v>292</v>
      </c>
      <c r="G941" s="32">
        <v>46049</v>
      </c>
      <c r="H941" s="4" t="s">
        <v>856</v>
      </c>
      <c r="I941" s="4" t="s">
        <v>459</v>
      </c>
      <c r="K941" s="67" t="b">
        <v>1</v>
      </c>
      <c r="S941" s="8"/>
    </row>
    <row r="942" spans="1:24" ht="12.5">
      <c r="A942" s="9" t="s">
        <v>5</v>
      </c>
      <c r="B942" s="4" t="s">
        <v>119</v>
      </c>
      <c r="C942" s="4" t="s">
        <v>295</v>
      </c>
      <c r="D942" s="4" t="s">
        <v>296</v>
      </c>
      <c r="E942" s="4">
        <v>59895177592</v>
      </c>
      <c r="F942" s="4" t="s">
        <v>297</v>
      </c>
      <c r="G942" s="32">
        <v>46049</v>
      </c>
      <c r="H942" s="4" t="s">
        <v>856</v>
      </c>
      <c r="I942" s="4" t="s">
        <v>459</v>
      </c>
      <c r="J942" s="68" t="b">
        <v>1</v>
      </c>
      <c r="K942" s="67" t="b">
        <v>1</v>
      </c>
      <c r="S942" s="8"/>
    </row>
    <row r="943" spans="1:24" ht="12.5">
      <c r="A943" s="9" t="s">
        <v>5</v>
      </c>
      <c r="B943" s="4" t="s">
        <v>398</v>
      </c>
      <c r="C943" s="4" t="s">
        <v>2218</v>
      </c>
      <c r="D943" s="4" t="s">
        <v>2219</v>
      </c>
      <c r="E943" s="4">
        <v>34643787782</v>
      </c>
      <c r="F943" s="4" t="s">
        <v>1823</v>
      </c>
      <c r="G943" s="32">
        <v>46049</v>
      </c>
      <c r="H943" s="4" t="s">
        <v>856</v>
      </c>
      <c r="I943" s="4" t="s">
        <v>459</v>
      </c>
      <c r="K943" s="67" t="b">
        <v>1</v>
      </c>
      <c r="S943" s="8"/>
    </row>
    <row r="944" spans="1:24" ht="12.5">
      <c r="A944" s="9" t="s">
        <v>381</v>
      </c>
      <c r="B944" s="4" t="s">
        <v>119</v>
      </c>
      <c r="C944" s="4" t="s">
        <v>2220</v>
      </c>
      <c r="D944" s="4" t="s">
        <v>2221</v>
      </c>
      <c r="E944" s="4">
        <v>525539358769</v>
      </c>
      <c r="F944" s="4" t="s">
        <v>1383</v>
      </c>
      <c r="G944" s="32">
        <v>46050</v>
      </c>
      <c r="H944" s="4" t="s">
        <v>856</v>
      </c>
      <c r="I944" s="4" t="s">
        <v>459</v>
      </c>
      <c r="K944" s="67" t="b">
        <v>1</v>
      </c>
      <c r="S944" s="8"/>
    </row>
    <row r="945" spans="1:24" ht="12.5">
      <c r="A945" s="9" t="s">
        <v>5</v>
      </c>
      <c r="B945" s="4" t="s">
        <v>398</v>
      </c>
      <c r="C945" s="4" t="s">
        <v>2222</v>
      </c>
      <c r="D945" s="4" t="s">
        <v>2223</v>
      </c>
      <c r="E945" s="4">
        <v>34671885466</v>
      </c>
      <c r="F945" s="4" t="s">
        <v>2224</v>
      </c>
      <c r="G945" s="32">
        <v>46050</v>
      </c>
      <c r="H945" s="4" t="s">
        <v>856</v>
      </c>
      <c r="I945" s="4" t="s">
        <v>459</v>
      </c>
      <c r="K945" s="67" t="b">
        <v>1</v>
      </c>
      <c r="S945" s="8"/>
    </row>
    <row r="946" spans="1:24" ht="12.5">
      <c r="A946" s="9" t="s">
        <v>5</v>
      </c>
      <c r="B946" s="4" t="s">
        <v>119</v>
      </c>
      <c r="C946" s="4" t="s">
        <v>2225</v>
      </c>
      <c r="D946" s="4" t="s">
        <v>290</v>
      </c>
      <c r="E946" s="4">
        <v>34609393278</v>
      </c>
      <c r="F946" s="4" t="s">
        <v>52</v>
      </c>
      <c r="G946" s="32">
        <v>46050</v>
      </c>
      <c r="H946" s="4" t="s">
        <v>856</v>
      </c>
      <c r="I946" s="4" t="s">
        <v>448</v>
      </c>
      <c r="K946" s="67" t="b">
        <v>1</v>
      </c>
      <c r="N946" s="67" t="b">
        <v>1</v>
      </c>
      <c r="S946" s="4" t="s">
        <v>119</v>
      </c>
      <c r="T946" s="33">
        <v>46050</v>
      </c>
      <c r="U946" s="6">
        <v>140</v>
      </c>
      <c r="V946" s="4">
        <v>0</v>
      </c>
      <c r="W946" s="4">
        <v>1</v>
      </c>
      <c r="X946" s="8">
        <v>46023</v>
      </c>
    </row>
    <row r="947" spans="1:24" ht="12.5">
      <c r="A947" s="9" t="s">
        <v>5</v>
      </c>
      <c r="B947" s="4" t="s">
        <v>398</v>
      </c>
      <c r="C947" s="4" t="s">
        <v>2226</v>
      </c>
      <c r="D947" s="4" t="s">
        <v>2227</v>
      </c>
      <c r="E947" s="4">
        <v>5533844919</v>
      </c>
      <c r="F947" s="4" t="s">
        <v>354</v>
      </c>
      <c r="G947" s="32">
        <v>46050</v>
      </c>
      <c r="H947" s="4" t="s">
        <v>856</v>
      </c>
      <c r="I947" s="4" t="s">
        <v>459</v>
      </c>
      <c r="K947" s="67" t="b">
        <v>1</v>
      </c>
      <c r="S947" s="8"/>
    </row>
    <row r="948" spans="1:24" ht="12.5">
      <c r="A948" s="9" t="s">
        <v>5</v>
      </c>
      <c r="B948" s="4" t="s">
        <v>119</v>
      </c>
      <c r="C948" s="4" t="s">
        <v>2228</v>
      </c>
      <c r="D948" s="4" t="s">
        <v>2227</v>
      </c>
      <c r="E948" s="4">
        <v>525533844919</v>
      </c>
      <c r="F948" s="4" t="s">
        <v>354</v>
      </c>
      <c r="G948" s="32">
        <v>46050</v>
      </c>
      <c r="H948" s="4" t="s">
        <v>856</v>
      </c>
      <c r="I948" s="4" t="s">
        <v>459</v>
      </c>
      <c r="K948" s="67" t="b">
        <v>1</v>
      </c>
      <c r="S948" s="8"/>
    </row>
    <row r="949" spans="1:24" ht="12.5">
      <c r="A949" s="9" t="s">
        <v>5</v>
      </c>
      <c r="B949" s="4" t="s">
        <v>398</v>
      </c>
      <c r="C949" s="4" t="s">
        <v>2229</v>
      </c>
      <c r="D949" s="4" t="s">
        <v>293</v>
      </c>
      <c r="E949" s="4">
        <v>542996058712</v>
      </c>
      <c r="F949" s="4" t="s">
        <v>294</v>
      </c>
      <c r="G949" s="32">
        <v>46051</v>
      </c>
      <c r="H949" s="4" t="s">
        <v>856</v>
      </c>
      <c r="I949" s="4" t="s">
        <v>448</v>
      </c>
      <c r="K949" s="67" t="b">
        <v>1</v>
      </c>
      <c r="N949" s="67" t="b">
        <v>1</v>
      </c>
      <c r="S949" s="4" t="s">
        <v>119</v>
      </c>
    </row>
    <row r="950" spans="1:24" ht="12.5">
      <c r="A950" s="9" t="s">
        <v>5</v>
      </c>
      <c r="B950" s="4" t="s">
        <v>119</v>
      </c>
      <c r="C950" s="4" t="s">
        <v>2230</v>
      </c>
      <c r="D950" s="4" t="s">
        <v>2231</v>
      </c>
      <c r="E950" s="4">
        <v>543415153946</v>
      </c>
      <c r="F950" s="4" t="s">
        <v>319</v>
      </c>
      <c r="G950" s="32">
        <v>46051</v>
      </c>
      <c r="H950" s="4" t="s">
        <v>856</v>
      </c>
      <c r="I950" s="4" t="s">
        <v>459</v>
      </c>
      <c r="K950" s="67" t="b">
        <v>1</v>
      </c>
      <c r="N950" s="67" t="b">
        <v>1</v>
      </c>
      <c r="S950" s="8"/>
    </row>
    <row r="951" spans="1:24" ht="12.5">
      <c r="A951" s="9" t="s">
        <v>381</v>
      </c>
      <c r="B951" s="4" t="s">
        <v>398</v>
      </c>
      <c r="C951" s="4" t="s">
        <v>2232</v>
      </c>
      <c r="D951" s="4" t="s">
        <v>2233</v>
      </c>
      <c r="E951" s="4">
        <v>573213870711</v>
      </c>
      <c r="F951" s="4" t="s">
        <v>2192</v>
      </c>
      <c r="G951" s="32">
        <v>46051</v>
      </c>
      <c r="H951" s="4" t="s">
        <v>856</v>
      </c>
      <c r="I951" s="4" t="s">
        <v>459</v>
      </c>
      <c r="K951" s="67" t="b">
        <v>1</v>
      </c>
      <c r="N951" s="67" t="b">
        <v>1</v>
      </c>
      <c r="S951" s="8"/>
    </row>
    <row r="952" spans="1:24" ht="12.5">
      <c r="A952" s="9" t="s">
        <v>5</v>
      </c>
      <c r="B952" s="4" t="s">
        <v>119</v>
      </c>
      <c r="C952" s="4" t="s">
        <v>2234</v>
      </c>
      <c r="D952" s="4" t="s">
        <v>2235</v>
      </c>
      <c r="E952" s="4">
        <v>541159804962</v>
      </c>
      <c r="F952" s="4" t="s">
        <v>8</v>
      </c>
      <c r="G952" s="32">
        <v>46051</v>
      </c>
      <c r="H952" s="4" t="s">
        <v>856</v>
      </c>
      <c r="I952" s="4" t="s">
        <v>459</v>
      </c>
      <c r="K952" s="67" t="b">
        <v>1</v>
      </c>
      <c r="N952" s="67" t="b">
        <v>1</v>
      </c>
      <c r="S952" s="8"/>
    </row>
    <row r="953" spans="1:24" ht="12.5">
      <c r="A953" s="9" t="s">
        <v>5</v>
      </c>
      <c r="B953" s="4" t="s">
        <v>398</v>
      </c>
      <c r="C953" s="4" t="s">
        <v>2236</v>
      </c>
      <c r="D953" s="4" t="s">
        <v>2237</v>
      </c>
      <c r="E953" s="4">
        <v>525552170608</v>
      </c>
      <c r="F953" s="4" t="s">
        <v>2238</v>
      </c>
      <c r="G953" s="32">
        <v>46052</v>
      </c>
      <c r="H953" s="4" t="s">
        <v>856</v>
      </c>
      <c r="I953" s="4" t="s">
        <v>459</v>
      </c>
      <c r="K953" s="67" t="b">
        <v>1</v>
      </c>
      <c r="S953" s="8"/>
    </row>
    <row r="954" spans="1:24" ht="12.5">
      <c r="A954" s="9" t="s">
        <v>5</v>
      </c>
      <c r="B954" s="4" t="s">
        <v>119</v>
      </c>
      <c r="C954" s="4" t="s">
        <v>2239</v>
      </c>
      <c r="D954" s="4" t="s">
        <v>315</v>
      </c>
      <c r="E954" s="4">
        <v>34626437696</v>
      </c>
      <c r="F954" s="4" t="s">
        <v>233</v>
      </c>
      <c r="G954" s="32">
        <v>46052</v>
      </c>
      <c r="H954" s="4" t="s">
        <v>856</v>
      </c>
      <c r="I954" s="4" t="s">
        <v>448</v>
      </c>
      <c r="K954" s="67" t="b">
        <v>1</v>
      </c>
      <c r="N954" s="67" t="b">
        <v>1</v>
      </c>
      <c r="S954" s="8"/>
    </row>
    <row r="955" spans="1:24" ht="12.5">
      <c r="A955" s="9" t="s">
        <v>5</v>
      </c>
      <c r="B955" s="4" t="s">
        <v>398</v>
      </c>
      <c r="C955" s="4" t="s">
        <v>2240</v>
      </c>
      <c r="D955" s="4" t="s">
        <v>2241</v>
      </c>
      <c r="E955" s="4">
        <v>34654104114</v>
      </c>
      <c r="F955" s="4" t="s">
        <v>284</v>
      </c>
      <c r="G955" s="32">
        <v>46052</v>
      </c>
      <c r="H955" s="4" t="s">
        <v>856</v>
      </c>
      <c r="I955" s="4" t="s">
        <v>459</v>
      </c>
      <c r="J955" s="68" t="b">
        <v>1</v>
      </c>
      <c r="K955" s="67" t="b">
        <v>1</v>
      </c>
      <c r="N955" s="67" t="b">
        <v>1</v>
      </c>
      <c r="S955" s="8"/>
    </row>
    <row r="956" spans="1:24" ht="12.5">
      <c r="A956" s="9" t="s">
        <v>5</v>
      </c>
      <c r="B956" s="4" t="s">
        <v>119</v>
      </c>
      <c r="C956" s="4" t="s">
        <v>2242</v>
      </c>
      <c r="D956" s="4" t="s">
        <v>2243</v>
      </c>
      <c r="E956" s="4">
        <v>522211201215</v>
      </c>
      <c r="F956" s="4" t="s">
        <v>354</v>
      </c>
      <c r="G956" s="32">
        <v>46052</v>
      </c>
      <c r="H956" s="4" t="s">
        <v>856</v>
      </c>
      <c r="I956" s="4" t="s">
        <v>459</v>
      </c>
      <c r="K956" s="67" t="b">
        <v>1</v>
      </c>
      <c r="L956" s="68" t="b">
        <v>1</v>
      </c>
      <c r="S956" s="8"/>
    </row>
    <row r="957" spans="1:24" ht="12.5">
      <c r="A957" s="9" t="s">
        <v>5</v>
      </c>
      <c r="B957" s="4" t="s">
        <v>398</v>
      </c>
      <c r="C957" s="4" t="s">
        <v>2244</v>
      </c>
      <c r="D957" s="4" t="s">
        <v>2245</v>
      </c>
      <c r="E957" s="4">
        <v>34606889989</v>
      </c>
      <c r="F957" s="4" t="s">
        <v>307</v>
      </c>
      <c r="G957" s="32">
        <v>46052</v>
      </c>
      <c r="H957" s="4" t="s">
        <v>856</v>
      </c>
      <c r="I957" s="4" t="s">
        <v>459</v>
      </c>
      <c r="K957" s="67" t="b">
        <v>1</v>
      </c>
      <c r="N957" s="67" t="b">
        <v>1</v>
      </c>
      <c r="S957" s="8"/>
    </row>
    <row r="958" spans="1:24" ht="12.5">
      <c r="A958" s="9" t="s">
        <v>5</v>
      </c>
      <c r="B958" s="4" t="s">
        <v>119</v>
      </c>
      <c r="C958" s="4" t="s">
        <v>2246</v>
      </c>
      <c r="D958" s="4" t="s">
        <v>2247</v>
      </c>
      <c r="E958" s="4">
        <v>56976156923</v>
      </c>
      <c r="F958" s="4" t="s">
        <v>319</v>
      </c>
      <c r="G958" s="32">
        <v>46052</v>
      </c>
      <c r="H958" s="4" t="s">
        <v>856</v>
      </c>
      <c r="I958" s="4" t="s">
        <v>941</v>
      </c>
      <c r="K958" s="67" t="b">
        <v>1</v>
      </c>
      <c r="N958" s="67" t="b">
        <v>1</v>
      </c>
      <c r="Q958" s="67" t="b">
        <v>1</v>
      </c>
      <c r="S958" s="8"/>
    </row>
    <row r="959" spans="1:24" ht="12.5">
      <c r="A959" s="9" t="s">
        <v>5</v>
      </c>
      <c r="B959" s="4" t="s">
        <v>398</v>
      </c>
      <c r="C959" s="4" t="s">
        <v>2248</v>
      </c>
      <c r="D959" s="4" t="s">
        <v>2249</v>
      </c>
      <c r="E959" s="4">
        <v>51924179352</v>
      </c>
      <c r="F959" s="4" t="s">
        <v>1277</v>
      </c>
      <c r="G959" s="32">
        <v>46052</v>
      </c>
      <c r="H959" s="4" t="s">
        <v>856</v>
      </c>
      <c r="I959" s="4" t="s">
        <v>459</v>
      </c>
      <c r="J959" s="68" t="b">
        <v>1</v>
      </c>
      <c r="K959" s="67" t="b">
        <v>1</v>
      </c>
      <c r="S959" s="8"/>
    </row>
    <row r="960" spans="1:24" ht="12.5">
      <c r="A960" s="9" t="s">
        <v>5</v>
      </c>
      <c r="B960" s="4" t="s">
        <v>119</v>
      </c>
      <c r="C960" s="4" t="s">
        <v>2250</v>
      </c>
      <c r="D960" s="4" t="s">
        <v>2251</v>
      </c>
      <c r="E960" s="4">
        <v>34646274559</v>
      </c>
      <c r="F960" s="4" t="s">
        <v>354</v>
      </c>
      <c r="G960" s="32">
        <v>46052</v>
      </c>
      <c r="H960" s="4" t="s">
        <v>856</v>
      </c>
      <c r="I960" s="4" t="s">
        <v>886</v>
      </c>
      <c r="K960" s="67" t="b">
        <v>1</v>
      </c>
      <c r="S960" s="8"/>
    </row>
    <row r="961" spans="1:24" ht="12.5">
      <c r="A961" s="9" t="s">
        <v>5</v>
      </c>
      <c r="B961" s="4" t="s">
        <v>398</v>
      </c>
      <c r="C961" s="4" t="s">
        <v>2252</v>
      </c>
      <c r="D961" s="4" t="s">
        <v>2253</v>
      </c>
      <c r="E961" s="4">
        <v>34602639171</v>
      </c>
      <c r="F961" s="4" t="s">
        <v>52</v>
      </c>
      <c r="G961" s="32">
        <v>46052</v>
      </c>
      <c r="H961" s="4" t="s">
        <v>856</v>
      </c>
      <c r="I961" s="4" t="s">
        <v>459</v>
      </c>
      <c r="K961" s="67" t="b">
        <v>1</v>
      </c>
      <c r="N961" s="67" t="b">
        <v>1</v>
      </c>
      <c r="S961" s="8"/>
    </row>
    <row r="962" spans="1:24" ht="12.5">
      <c r="A962" s="9" t="s">
        <v>5</v>
      </c>
      <c r="B962" s="4" t="s">
        <v>119</v>
      </c>
      <c r="C962" s="4" t="s">
        <v>2254</v>
      </c>
      <c r="D962" s="4" t="s">
        <v>2255</v>
      </c>
      <c r="E962" s="4">
        <v>573227124056</v>
      </c>
      <c r="F962" s="4" t="s">
        <v>27</v>
      </c>
      <c r="G962" s="32">
        <v>46053</v>
      </c>
      <c r="H962" s="4" t="s">
        <v>856</v>
      </c>
      <c r="I962" s="4" t="s">
        <v>941</v>
      </c>
      <c r="K962" s="67" t="b">
        <v>1</v>
      </c>
      <c r="N962" s="67" t="b">
        <v>1</v>
      </c>
      <c r="S962" s="8"/>
    </row>
    <row r="963" spans="1:24" ht="12.5">
      <c r="A963" s="9" t="s">
        <v>5</v>
      </c>
      <c r="B963" s="4" t="s">
        <v>398</v>
      </c>
      <c r="C963" s="4" t="s">
        <v>2256</v>
      </c>
      <c r="D963" s="4" t="s">
        <v>2257</v>
      </c>
      <c r="E963" s="4">
        <v>34680471323</v>
      </c>
      <c r="F963" s="4" t="s">
        <v>298</v>
      </c>
      <c r="G963" s="32">
        <v>46053</v>
      </c>
      <c r="H963" s="4" t="s">
        <v>856</v>
      </c>
      <c r="I963" s="4" t="s">
        <v>448</v>
      </c>
      <c r="K963" s="67" t="b">
        <v>1</v>
      </c>
      <c r="S963" s="4" t="s">
        <v>119</v>
      </c>
      <c r="T963" s="33">
        <v>46055</v>
      </c>
      <c r="U963" s="6">
        <v>100</v>
      </c>
      <c r="V963" s="7">
        <v>0</v>
      </c>
      <c r="W963" s="4">
        <v>1</v>
      </c>
      <c r="X963" s="8">
        <v>46023</v>
      </c>
    </row>
    <row r="964" spans="1:24" ht="12.5">
      <c r="A964" s="9" t="s">
        <v>5</v>
      </c>
      <c r="B964" s="4"/>
      <c r="C964" s="4" t="s">
        <v>2258</v>
      </c>
      <c r="D964" s="4" t="s">
        <v>2259</v>
      </c>
      <c r="E964" s="4">
        <v>4915779830177</v>
      </c>
      <c r="F964" s="4" t="s">
        <v>1255</v>
      </c>
      <c r="G964" s="32">
        <v>46053</v>
      </c>
      <c r="H964" s="4" t="s">
        <v>856</v>
      </c>
      <c r="I964" s="4" t="s">
        <v>459</v>
      </c>
      <c r="K964" s="67" t="b">
        <v>1</v>
      </c>
      <c r="N964" s="67" t="b">
        <v>1</v>
      </c>
      <c r="S964" s="8"/>
    </row>
    <row r="965" spans="1:24" ht="12.5">
      <c r="A965" s="9" t="s">
        <v>5</v>
      </c>
      <c r="B965" s="4" t="s">
        <v>119</v>
      </c>
      <c r="C965" s="4" t="s">
        <v>2260</v>
      </c>
      <c r="D965" s="4" t="s">
        <v>2261</v>
      </c>
      <c r="E965" s="4">
        <v>541162464613</v>
      </c>
      <c r="F965" s="4" t="s">
        <v>1532</v>
      </c>
      <c r="G965" s="32">
        <v>46054</v>
      </c>
      <c r="H965" s="4" t="s">
        <v>856</v>
      </c>
      <c r="I965" s="4" t="s">
        <v>459</v>
      </c>
      <c r="K965" s="67" t="b">
        <v>1</v>
      </c>
      <c r="N965" s="67" t="b">
        <v>1</v>
      </c>
      <c r="S965" s="8"/>
    </row>
    <row r="966" spans="1:24" ht="12.5">
      <c r="A966" s="9" t="s">
        <v>5</v>
      </c>
      <c r="B966" s="4" t="s">
        <v>398</v>
      </c>
      <c r="C966" s="4" t="s">
        <v>2262</v>
      </c>
      <c r="D966" s="4" t="s">
        <v>2263</v>
      </c>
      <c r="E966" s="4">
        <v>34611097297</v>
      </c>
      <c r="F966" s="4" t="s">
        <v>70</v>
      </c>
      <c r="G966" s="32">
        <v>46054</v>
      </c>
      <c r="H966" s="4" t="s">
        <v>856</v>
      </c>
      <c r="I966" s="4" t="s">
        <v>459</v>
      </c>
      <c r="K966" s="67" t="b">
        <v>1</v>
      </c>
      <c r="N966" s="67" t="b">
        <v>1</v>
      </c>
      <c r="P966" s="68" t="b">
        <v>1</v>
      </c>
      <c r="Q966" s="67" t="b">
        <v>1</v>
      </c>
      <c r="S966" s="8"/>
    </row>
    <row r="967" spans="1:24" ht="12.5">
      <c r="A967" s="9" t="s">
        <v>5</v>
      </c>
      <c r="B967" s="4" t="s">
        <v>119</v>
      </c>
      <c r="C967" s="4" t="s">
        <v>2264</v>
      </c>
      <c r="D967" s="4" t="s">
        <v>2265</v>
      </c>
      <c r="E967" s="4">
        <v>34673874421</v>
      </c>
      <c r="F967" s="4" t="s">
        <v>63</v>
      </c>
      <c r="G967" s="32">
        <v>46054</v>
      </c>
      <c r="H967" s="4" t="s">
        <v>856</v>
      </c>
      <c r="I967" s="4" t="s">
        <v>448</v>
      </c>
      <c r="K967" s="67" t="b">
        <v>1</v>
      </c>
      <c r="N967" s="67" t="b">
        <v>1</v>
      </c>
      <c r="S967" s="4" t="s">
        <v>119</v>
      </c>
      <c r="T967" s="33">
        <v>46055</v>
      </c>
      <c r="U967" s="6">
        <v>350</v>
      </c>
      <c r="V967" s="7">
        <v>0</v>
      </c>
      <c r="W967" s="4">
        <v>1</v>
      </c>
      <c r="X967" s="8">
        <v>46023</v>
      </c>
    </row>
    <row r="968" spans="1:24" ht="12.5">
      <c r="A968" s="9" t="s">
        <v>381</v>
      </c>
      <c r="B968" s="4" t="s">
        <v>398</v>
      </c>
      <c r="C968" s="4" t="s">
        <v>2266</v>
      </c>
      <c r="D968" s="4" t="s">
        <v>2267</v>
      </c>
      <c r="E968" s="4">
        <v>18498767798</v>
      </c>
      <c r="F968" s="4" t="s">
        <v>2268</v>
      </c>
      <c r="G968" s="32">
        <v>46054</v>
      </c>
      <c r="H968" s="4" t="s">
        <v>856</v>
      </c>
      <c r="I968" s="4" t="s">
        <v>459</v>
      </c>
      <c r="K968" s="67" t="b">
        <v>1</v>
      </c>
      <c r="N968" s="67" t="b">
        <v>1</v>
      </c>
      <c r="P968" s="68" t="b">
        <v>1</v>
      </c>
      <c r="Q968" s="67" t="b">
        <v>1</v>
      </c>
      <c r="S968" s="8"/>
    </row>
    <row r="969" spans="1:24" ht="12.5">
      <c r="A969" s="9" t="s">
        <v>381</v>
      </c>
      <c r="B969" s="4" t="s">
        <v>119</v>
      </c>
      <c r="C969" s="4" t="s">
        <v>2269</v>
      </c>
      <c r="E969" s="4" t="s">
        <v>2270</v>
      </c>
      <c r="F969" s="4" t="s">
        <v>2271</v>
      </c>
      <c r="G969" s="32">
        <v>46055</v>
      </c>
      <c r="H969" s="9" t="s">
        <v>956</v>
      </c>
      <c r="I969" s="4" t="s">
        <v>941</v>
      </c>
      <c r="J969" s="4"/>
      <c r="K969" s="67" t="b">
        <v>1</v>
      </c>
      <c r="L969" s="4"/>
      <c r="M969" s="4"/>
      <c r="N969" s="67" t="b">
        <v>1</v>
      </c>
      <c r="O969" s="4"/>
      <c r="P969" s="4"/>
      <c r="Q969" s="4"/>
      <c r="R969" s="4"/>
      <c r="S969" s="8"/>
    </row>
    <row r="970" spans="1:24" ht="12.5">
      <c r="A970" s="9" t="s">
        <v>5</v>
      </c>
      <c r="B970" s="4" t="s">
        <v>398</v>
      </c>
      <c r="C970" s="4" t="s">
        <v>2272</v>
      </c>
      <c r="E970" s="4" t="s">
        <v>2273</v>
      </c>
      <c r="F970" s="4" t="s">
        <v>8</v>
      </c>
      <c r="G970" s="32">
        <v>46055</v>
      </c>
      <c r="H970" s="9" t="s">
        <v>956</v>
      </c>
      <c r="I970" s="4" t="s">
        <v>459</v>
      </c>
      <c r="J970" s="68" t="b">
        <v>1</v>
      </c>
      <c r="K970" s="67" t="b">
        <v>1</v>
      </c>
      <c r="L970" s="4"/>
      <c r="M970" s="4"/>
      <c r="N970" s="67" t="b">
        <v>1</v>
      </c>
      <c r="O970" s="4"/>
      <c r="P970" s="68" t="b">
        <v>1</v>
      </c>
      <c r="Q970" s="67" t="b">
        <v>1</v>
      </c>
      <c r="R970" s="4"/>
      <c r="S970" s="8"/>
    </row>
    <row r="971" spans="1:24" ht="12.5">
      <c r="A971" s="9" t="s">
        <v>5</v>
      </c>
      <c r="B971" s="4" t="s">
        <v>119</v>
      </c>
      <c r="C971" s="4" t="s">
        <v>2274</v>
      </c>
      <c r="E971" s="4" t="s">
        <v>2275</v>
      </c>
      <c r="G971" s="32">
        <v>46055</v>
      </c>
      <c r="H971" s="9" t="s">
        <v>956</v>
      </c>
      <c r="I971" s="4" t="s">
        <v>459</v>
      </c>
      <c r="J971" s="4"/>
      <c r="K971" s="67" t="b">
        <v>1</v>
      </c>
      <c r="L971" s="4"/>
      <c r="M971" s="4"/>
      <c r="N971" s="4"/>
      <c r="O971" s="4"/>
      <c r="P971" s="4"/>
      <c r="Q971" s="4"/>
      <c r="R971" s="4"/>
      <c r="S971" s="8"/>
    </row>
    <row r="972" spans="1:24" ht="12.5">
      <c r="A972" s="4" t="s">
        <v>240</v>
      </c>
      <c r="B972" s="4" t="s">
        <v>398</v>
      </c>
      <c r="C972" s="4" t="s">
        <v>2276</v>
      </c>
      <c r="E972" s="4" t="s">
        <v>2277</v>
      </c>
      <c r="F972" s="4" t="s">
        <v>2278</v>
      </c>
      <c r="G972" s="32">
        <v>46055</v>
      </c>
      <c r="H972" s="9" t="s">
        <v>956</v>
      </c>
      <c r="I972" s="4" t="s">
        <v>886</v>
      </c>
      <c r="J972" s="68" t="b">
        <v>1</v>
      </c>
      <c r="K972" s="67" t="b">
        <v>1</v>
      </c>
      <c r="L972" s="4"/>
      <c r="M972" s="4"/>
      <c r="N972" s="4"/>
      <c r="O972" s="4"/>
      <c r="P972" s="4"/>
      <c r="Q972" s="4"/>
      <c r="R972" s="4"/>
      <c r="S972" s="8"/>
    </row>
    <row r="973" spans="1:24" ht="20">
      <c r="A973" s="4" t="s">
        <v>240</v>
      </c>
      <c r="B973" s="4" t="s">
        <v>119</v>
      </c>
      <c r="C973" s="4" t="s">
        <v>2279</v>
      </c>
      <c r="E973" s="4" t="s">
        <v>2280</v>
      </c>
      <c r="F973" s="92" t="s">
        <v>2281</v>
      </c>
      <c r="G973" s="32">
        <v>46055</v>
      </c>
      <c r="H973" s="9" t="s">
        <v>956</v>
      </c>
      <c r="I973" s="4" t="s">
        <v>459</v>
      </c>
      <c r="J973" s="4"/>
      <c r="K973" s="67" t="b">
        <v>1</v>
      </c>
      <c r="L973" s="4"/>
      <c r="M973" s="4"/>
      <c r="N973" s="67" t="b">
        <v>1</v>
      </c>
      <c r="O973" s="4"/>
      <c r="P973" s="4"/>
      <c r="Q973" s="4"/>
      <c r="R973" s="4"/>
      <c r="S973" s="8"/>
    </row>
    <row r="974" spans="1:24" ht="12.5">
      <c r="A974" s="9" t="s">
        <v>381</v>
      </c>
      <c r="B974" s="4" t="s">
        <v>398</v>
      </c>
      <c r="C974" s="4" t="s">
        <v>2282</v>
      </c>
      <c r="E974" s="4" t="s">
        <v>2283</v>
      </c>
      <c r="F974" s="93" t="s">
        <v>2268</v>
      </c>
      <c r="G974" s="32">
        <v>46055</v>
      </c>
      <c r="H974" s="9" t="s">
        <v>956</v>
      </c>
      <c r="I974" s="4" t="s">
        <v>459</v>
      </c>
      <c r="J974" s="4"/>
      <c r="K974" s="67" t="b">
        <v>1</v>
      </c>
      <c r="L974" s="4"/>
      <c r="M974" s="4"/>
      <c r="N974" s="67" t="b">
        <v>1</v>
      </c>
      <c r="O974" s="4"/>
      <c r="P974" s="4"/>
      <c r="Q974" s="4"/>
      <c r="R974" s="4"/>
      <c r="S974" s="8"/>
    </row>
    <row r="975" spans="1:24" ht="12.5">
      <c r="A975" s="9" t="s">
        <v>5</v>
      </c>
      <c r="B975" s="4" t="s">
        <v>119</v>
      </c>
      <c r="C975" s="4" t="s">
        <v>2284</v>
      </c>
      <c r="D975" s="4" t="s">
        <v>2285</v>
      </c>
      <c r="E975" s="4">
        <v>34619979566</v>
      </c>
      <c r="F975" s="93" t="s">
        <v>477</v>
      </c>
      <c r="G975" s="32">
        <v>46055</v>
      </c>
      <c r="H975" s="9" t="s">
        <v>856</v>
      </c>
      <c r="I975" s="4" t="s">
        <v>459</v>
      </c>
      <c r="K975" s="67" t="b">
        <v>1</v>
      </c>
      <c r="S975" s="8"/>
    </row>
    <row r="976" spans="1:24" ht="12.5">
      <c r="A976" s="9" t="s">
        <v>5</v>
      </c>
      <c r="B976" s="4" t="s">
        <v>398</v>
      </c>
      <c r="C976" s="4" t="s">
        <v>2286</v>
      </c>
      <c r="D976" s="4" t="s">
        <v>2287</v>
      </c>
      <c r="E976" s="4">
        <v>573145522689</v>
      </c>
      <c r="F976" s="93" t="s">
        <v>70</v>
      </c>
      <c r="G976" s="32">
        <v>46055</v>
      </c>
      <c r="H976" s="9" t="s">
        <v>856</v>
      </c>
      <c r="I976" s="4" t="s">
        <v>459</v>
      </c>
      <c r="K976" s="67" t="b">
        <v>1</v>
      </c>
      <c r="N976" s="67" t="b">
        <v>1</v>
      </c>
      <c r="P976" s="68" t="b">
        <v>1</v>
      </c>
      <c r="Q976" s="67" t="b">
        <v>1</v>
      </c>
      <c r="S976" s="8"/>
    </row>
    <row r="977" spans="1:25" ht="12.5">
      <c r="A977" s="9" t="s">
        <v>5</v>
      </c>
      <c r="B977" s="4" t="s">
        <v>119</v>
      </c>
      <c r="C977" s="4" t="s">
        <v>2288</v>
      </c>
      <c r="E977" s="4" t="s">
        <v>2289</v>
      </c>
      <c r="F977" s="4" t="s">
        <v>2290</v>
      </c>
      <c r="I977" s="4" t="s">
        <v>459</v>
      </c>
      <c r="J977" s="4"/>
      <c r="K977" s="67" t="b">
        <v>1</v>
      </c>
      <c r="L977" s="4"/>
      <c r="M977" s="4"/>
      <c r="N977" s="67" t="b">
        <v>1</v>
      </c>
      <c r="O977" s="4"/>
      <c r="P977" s="4"/>
      <c r="Q977" s="4"/>
      <c r="R977" s="4"/>
      <c r="S977" s="8"/>
    </row>
    <row r="978" spans="1:25" ht="12.5">
      <c r="A978" s="9" t="s">
        <v>5</v>
      </c>
      <c r="B978" s="4" t="s">
        <v>398</v>
      </c>
      <c r="C978" s="4" t="s">
        <v>2291</v>
      </c>
      <c r="D978" s="4" t="s">
        <v>306</v>
      </c>
      <c r="E978" s="4">
        <v>34679309544</v>
      </c>
      <c r="F978" s="4" t="s">
        <v>307</v>
      </c>
      <c r="G978" s="32">
        <v>46055</v>
      </c>
      <c r="H978" s="4" t="s">
        <v>856</v>
      </c>
      <c r="I978" s="4" t="s">
        <v>448</v>
      </c>
      <c r="K978" s="67" t="b">
        <v>1</v>
      </c>
      <c r="S978" s="4" t="s">
        <v>119</v>
      </c>
      <c r="T978" s="33">
        <v>46057</v>
      </c>
      <c r="U978" s="6">
        <v>145</v>
      </c>
      <c r="V978" s="7">
        <v>0</v>
      </c>
      <c r="W978" s="4">
        <v>2</v>
      </c>
      <c r="X978" s="8">
        <v>46054</v>
      </c>
    </row>
    <row r="979" spans="1:25" ht="12.5">
      <c r="A979" s="9" t="s">
        <v>5</v>
      </c>
      <c r="B979" s="4" t="s">
        <v>119</v>
      </c>
      <c r="C979" s="4" t="s">
        <v>2292</v>
      </c>
      <c r="D979" s="4" t="s">
        <v>2293</v>
      </c>
      <c r="E979" s="4">
        <v>526141418144</v>
      </c>
      <c r="F979" s="4" t="s">
        <v>354</v>
      </c>
      <c r="G979" s="32">
        <v>46055</v>
      </c>
      <c r="H979" s="4" t="s">
        <v>856</v>
      </c>
      <c r="I979" s="4" t="s">
        <v>459</v>
      </c>
      <c r="K979" s="67" t="b">
        <v>1</v>
      </c>
      <c r="N979" s="67" t="b">
        <v>1</v>
      </c>
      <c r="S979" s="8"/>
    </row>
    <row r="980" spans="1:25" ht="12.5">
      <c r="A980" s="9" t="s">
        <v>5</v>
      </c>
      <c r="B980" s="4" t="s">
        <v>398</v>
      </c>
      <c r="C980" s="4" t="s">
        <v>303</v>
      </c>
      <c r="D980" s="4" t="s">
        <v>304</v>
      </c>
      <c r="E980" s="4">
        <v>34648734753</v>
      </c>
      <c r="F980" s="4" t="s">
        <v>285</v>
      </c>
      <c r="G980" s="32">
        <v>46055</v>
      </c>
      <c r="H980" s="4" t="s">
        <v>856</v>
      </c>
      <c r="I980" s="4" t="s">
        <v>448</v>
      </c>
      <c r="K980" s="67" t="b">
        <v>1</v>
      </c>
      <c r="N980" s="67" t="b">
        <v>1</v>
      </c>
      <c r="S980" s="4" t="s">
        <v>119</v>
      </c>
      <c r="T980" s="33">
        <v>46057</v>
      </c>
      <c r="U980" s="6">
        <v>299</v>
      </c>
      <c r="V980" s="7">
        <v>0</v>
      </c>
      <c r="W980" s="4">
        <v>1</v>
      </c>
      <c r="X980" s="8">
        <v>46023</v>
      </c>
    </row>
    <row r="981" spans="1:25" ht="12.5">
      <c r="A981" s="9" t="s">
        <v>5</v>
      </c>
      <c r="B981" s="4" t="s">
        <v>119</v>
      </c>
      <c r="C981" s="4" t="s">
        <v>1934</v>
      </c>
      <c r="D981" s="4" t="s">
        <v>1935</v>
      </c>
      <c r="E981" s="4">
        <v>529516149277</v>
      </c>
      <c r="F981" s="4" t="s">
        <v>319</v>
      </c>
      <c r="G981" s="32">
        <v>46055</v>
      </c>
      <c r="H981" s="4" t="s">
        <v>856</v>
      </c>
      <c r="I981" s="4" t="s">
        <v>459</v>
      </c>
      <c r="K981" s="67" t="b">
        <v>1</v>
      </c>
      <c r="N981" s="67" t="b">
        <v>1</v>
      </c>
      <c r="S981" s="8"/>
    </row>
    <row r="982" spans="1:25" ht="12.5">
      <c r="A982" s="9" t="s">
        <v>5</v>
      </c>
      <c r="B982" s="4" t="s">
        <v>398</v>
      </c>
      <c r="C982" s="4" t="s">
        <v>2294</v>
      </c>
      <c r="D982" s="4" t="s">
        <v>2295</v>
      </c>
      <c r="E982" s="4">
        <v>34614138549</v>
      </c>
      <c r="F982" s="4" t="s">
        <v>1859</v>
      </c>
      <c r="G982" s="32">
        <v>46055</v>
      </c>
      <c r="H982" s="4" t="s">
        <v>856</v>
      </c>
      <c r="I982" s="4" t="s">
        <v>459</v>
      </c>
      <c r="K982" s="67" t="b">
        <v>1</v>
      </c>
      <c r="N982" s="67" t="b">
        <v>1</v>
      </c>
      <c r="P982" s="68" t="b">
        <v>1</v>
      </c>
      <c r="R982" s="68" t="b">
        <v>1</v>
      </c>
      <c r="S982" s="8"/>
      <c r="Y982" s="4" t="s">
        <v>2296</v>
      </c>
    </row>
    <row r="983" spans="1:25" ht="12.5">
      <c r="A983" s="9" t="s">
        <v>5</v>
      </c>
      <c r="B983" s="4" t="s">
        <v>119</v>
      </c>
      <c r="C983" s="4" t="s">
        <v>2297</v>
      </c>
      <c r="D983" s="4" t="s">
        <v>2298</v>
      </c>
      <c r="E983" s="4">
        <v>34691691450</v>
      </c>
      <c r="F983" s="4" t="s">
        <v>70</v>
      </c>
      <c r="G983" s="32">
        <v>46055</v>
      </c>
      <c r="H983" s="4" t="s">
        <v>856</v>
      </c>
      <c r="I983" s="4" t="s">
        <v>2299</v>
      </c>
      <c r="K983" s="67" t="b">
        <v>1</v>
      </c>
      <c r="S983" s="8"/>
    </row>
    <row r="984" spans="1:25" ht="12.5">
      <c r="A984" s="9" t="s">
        <v>5</v>
      </c>
      <c r="B984" s="4" t="s">
        <v>398</v>
      </c>
      <c r="C984" s="4" t="s">
        <v>2300</v>
      </c>
      <c r="D984" s="4" t="s">
        <v>2301</v>
      </c>
      <c r="E984" s="4">
        <v>519612365832</v>
      </c>
      <c r="F984" s="4" t="s">
        <v>70</v>
      </c>
      <c r="G984" s="32">
        <v>46056</v>
      </c>
      <c r="H984" s="4" t="s">
        <v>856</v>
      </c>
      <c r="I984" s="4" t="s">
        <v>459</v>
      </c>
      <c r="L984" s="68" t="b">
        <v>1</v>
      </c>
      <c r="O984" s="68" t="b">
        <v>1</v>
      </c>
      <c r="S984" s="8"/>
      <c r="Y984" s="4" t="s">
        <v>2302</v>
      </c>
    </row>
    <row r="985" spans="1:25" ht="12.5">
      <c r="A985" s="9" t="s">
        <v>5</v>
      </c>
      <c r="B985" s="4" t="s">
        <v>119</v>
      </c>
      <c r="C985" s="4" t="s">
        <v>2303</v>
      </c>
      <c r="D985" s="4" t="s">
        <v>2304</v>
      </c>
      <c r="E985" s="4">
        <v>525555055243</v>
      </c>
      <c r="F985" s="4" t="s">
        <v>70</v>
      </c>
      <c r="G985" s="32">
        <v>46056</v>
      </c>
      <c r="H985" s="4" t="s">
        <v>856</v>
      </c>
      <c r="I985" s="4" t="s">
        <v>459</v>
      </c>
      <c r="K985" s="67" t="b">
        <v>1</v>
      </c>
      <c r="N985" s="67" t="b">
        <v>1</v>
      </c>
      <c r="S985" s="8"/>
    </row>
    <row r="986" spans="1:25" ht="12.5">
      <c r="A986" s="9" t="s">
        <v>5</v>
      </c>
      <c r="B986" s="4" t="s">
        <v>398</v>
      </c>
      <c r="C986" s="4" t="s">
        <v>2305</v>
      </c>
      <c r="D986" s="4" t="s">
        <v>2306</v>
      </c>
      <c r="E986" s="4">
        <v>61406904545</v>
      </c>
      <c r="F986" s="4" t="s">
        <v>1255</v>
      </c>
      <c r="G986" s="32">
        <v>46056</v>
      </c>
      <c r="H986" s="4" t="s">
        <v>856</v>
      </c>
      <c r="I986" s="4" t="s">
        <v>459</v>
      </c>
      <c r="K986" s="67" t="b">
        <v>1</v>
      </c>
      <c r="N986" s="67" t="b">
        <v>1</v>
      </c>
      <c r="S986" s="8"/>
    </row>
    <row r="987" spans="1:25" ht="14">
      <c r="A987" s="9" t="s">
        <v>5</v>
      </c>
      <c r="B987" s="4" t="s">
        <v>119</v>
      </c>
      <c r="C987" s="9" t="s">
        <v>302</v>
      </c>
      <c r="D987" s="4" t="s">
        <v>2307</v>
      </c>
      <c r="E987" s="4" t="s">
        <v>2308</v>
      </c>
      <c r="F987" s="46" t="s">
        <v>298</v>
      </c>
      <c r="G987" s="32">
        <v>46056</v>
      </c>
      <c r="H987" s="9" t="s">
        <v>956</v>
      </c>
      <c r="I987" s="4" t="s">
        <v>448</v>
      </c>
      <c r="K987" s="67" t="b">
        <v>1</v>
      </c>
      <c r="N987" s="67"/>
      <c r="S987" s="4" t="s">
        <v>119</v>
      </c>
      <c r="T987" s="33">
        <v>46056</v>
      </c>
      <c r="U987" s="6">
        <v>100</v>
      </c>
      <c r="V987" s="7">
        <v>0</v>
      </c>
      <c r="W987" s="4">
        <v>1</v>
      </c>
      <c r="X987" s="8">
        <v>46023</v>
      </c>
    </row>
    <row r="988" spans="1:25" ht="14">
      <c r="A988" s="9" t="s">
        <v>5</v>
      </c>
      <c r="B988" s="4" t="s">
        <v>398</v>
      </c>
      <c r="C988" s="9" t="s">
        <v>301</v>
      </c>
      <c r="E988" s="4" t="s">
        <v>2309</v>
      </c>
      <c r="F988" s="47" t="s">
        <v>298</v>
      </c>
      <c r="G988" s="32">
        <v>46056</v>
      </c>
      <c r="H988" s="9" t="s">
        <v>956</v>
      </c>
      <c r="I988" s="4" t="s">
        <v>448</v>
      </c>
      <c r="K988" s="67" t="b">
        <v>1</v>
      </c>
      <c r="N988" s="67"/>
      <c r="S988" s="4" t="s">
        <v>119</v>
      </c>
      <c r="T988" s="33">
        <v>46056</v>
      </c>
      <c r="U988" s="6">
        <v>100</v>
      </c>
      <c r="V988" s="7">
        <v>0</v>
      </c>
      <c r="W988" s="4">
        <v>1</v>
      </c>
      <c r="X988" s="8">
        <v>46023</v>
      </c>
    </row>
    <row r="989" spans="1:25" ht="12.5">
      <c r="A989" s="9" t="s">
        <v>5</v>
      </c>
      <c r="B989" s="4" t="s">
        <v>119</v>
      </c>
      <c r="C989" s="9" t="s">
        <v>299</v>
      </c>
      <c r="F989" s="4" t="s">
        <v>70</v>
      </c>
      <c r="G989" s="32">
        <v>46056</v>
      </c>
      <c r="H989" s="9" t="s">
        <v>956</v>
      </c>
      <c r="I989" s="4" t="s">
        <v>448</v>
      </c>
      <c r="K989" s="67" t="b">
        <v>1</v>
      </c>
      <c r="N989" s="67"/>
      <c r="S989" s="4" t="s">
        <v>119</v>
      </c>
      <c r="T989" s="33">
        <v>46056</v>
      </c>
      <c r="U989" s="6">
        <v>125</v>
      </c>
      <c r="V989" s="7">
        <v>0</v>
      </c>
      <c r="W989" s="4">
        <v>2</v>
      </c>
      <c r="X989" s="8">
        <v>46054</v>
      </c>
    </row>
    <row r="990" spans="1:25" ht="12.5">
      <c r="A990" s="9" t="s">
        <v>5</v>
      </c>
      <c r="B990" s="4" t="s">
        <v>398</v>
      </c>
      <c r="C990" s="9" t="s">
        <v>2310</v>
      </c>
      <c r="D990" s="9" t="s">
        <v>2311</v>
      </c>
      <c r="E990" s="29">
        <v>34696705753</v>
      </c>
      <c r="F990" s="9" t="s">
        <v>1582</v>
      </c>
      <c r="G990" s="43">
        <v>46057</v>
      </c>
      <c r="H990" s="9" t="s">
        <v>856</v>
      </c>
      <c r="I990" s="9" t="s">
        <v>459</v>
      </c>
      <c r="K990" s="67"/>
      <c r="M990" s="68" t="b">
        <v>1</v>
      </c>
      <c r="N990" s="67" t="b">
        <v>1</v>
      </c>
      <c r="S990" s="8"/>
    </row>
    <row r="991" spans="1:25" ht="12.5">
      <c r="A991" s="9" t="s">
        <v>5</v>
      </c>
      <c r="B991" s="4" t="s">
        <v>119</v>
      </c>
      <c r="C991" s="9" t="s">
        <v>2312</v>
      </c>
      <c r="D991" s="9" t="s">
        <v>2301</v>
      </c>
      <c r="E991" s="29">
        <v>529612365832</v>
      </c>
      <c r="F991" s="9" t="s">
        <v>70</v>
      </c>
      <c r="G991" s="43">
        <v>46057</v>
      </c>
      <c r="H991" s="9" t="s">
        <v>856</v>
      </c>
      <c r="I991" s="9" t="s">
        <v>459</v>
      </c>
      <c r="K991" s="67"/>
      <c r="N991" s="67"/>
      <c r="S991" s="8"/>
    </row>
    <row r="992" spans="1:25" ht="12.5">
      <c r="A992" s="9" t="s">
        <v>5</v>
      </c>
      <c r="B992" s="4" t="s">
        <v>398</v>
      </c>
      <c r="C992" s="9" t="s">
        <v>2313</v>
      </c>
      <c r="D992" s="9" t="s">
        <v>2314</v>
      </c>
      <c r="E992" s="29">
        <v>5493704813992</v>
      </c>
      <c r="F992" s="9" t="s">
        <v>319</v>
      </c>
      <c r="G992" s="43">
        <v>46057</v>
      </c>
      <c r="H992" s="9" t="s">
        <v>856</v>
      </c>
      <c r="I992" s="9" t="s">
        <v>459</v>
      </c>
      <c r="K992" s="67" t="b">
        <v>1</v>
      </c>
      <c r="N992" s="67" t="b">
        <v>1</v>
      </c>
      <c r="P992" s="68" t="b">
        <v>1</v>
      </c>
      <c r="Q992" s="67" t="b">
        <v>1</v>
      </c>
      <c r="S992" s="8"/>
    </row>
    <row r="993" spans="1:25" ht="14">
      <c r="A993" s="9" t="s">
        <v>5</v>
      </c>
      <c r="B993" s="4" t="s">
        <v>119</v>
      </c>
      <c r="C993" s="24" t="s">
        <v>303</v>
      </c>
      <c r="D993" s="9"/>
      <c r="E993" s="29"/>
      <c r="F993" s="46" t="s">
        <v>285</v>
      </c>
      <c r="G993" s="43">
        <v>46057</v>
      </c>
      <c r="H993" s="9" t="s">
        <v>956</v>
      </c>
      <c r="I993" s="9" t="s">
        <v>448</v>
      </c>
      <c r="K993" s="67" t="b">
        <v>1</v>
      </c>
      <c r="L993" s="68"/>
      <c r="N993" s="67"/>
      <c r="S993" s="4" t="s">
        <v>119</v>
      </c>
      <c r="T993" s="33">
        <v>46057</v>
      </c>
      <c r="U993" s="6">
        <v>299</v>
      </c>
      <c r="V993" s="7">
        <v>0</v>
      </c>
      <c r="W993" s="4">
        <v>1</v>
      </c>
      <c r="X993" s="8">
        <v>46023</v>
      </c>
    </row>
    <row r="994" spans="1:25" ht="14">
      <c r="A994" s="9" t="s">
        <v>5</v>
      </c>
      <c r="B994" s="4" t="s">
        <v>398</v>
      </c>
      <c r="C994" s="94" t="s">
        <v>305</v>
      </c>
      <c r="D994" s="9"/>
      <c r="E994" s="29"/>
      <c r="F994" s="47" t="s">
        <v>307</v>
      </c>
      <c r="G994" s="43">
        <v>46057</v>
      </c>
      <c r="H994" s="9" t="s">
        <v>956</v>
      </c>
      <c r="I994" s="9" t="s">
        <v>448</v>
      </c>
      <c r="K994" s="67" t="b">
        <v>1</v>
      </c>
      <c r="N994" s="67"/>
      <c r="S994" s="4" t="s">
        <v>119</v>
      </c>
      <c r="T994" s="33">
        <v>46057</v>
      </c>
      <c r="U994" s="6">
        <v>145</v>
      </c>
      <c r="V994" s="7">
        <v>0</v>
      </c>
      <c r="W994" s="4">
        <v>2</v>
      </c>
      <c r="X994" s="8">
        <v>46054</v>
      </c>
    </row>
    <row r="995" spans="1:25" ht="12.5">
      <c r="A995" s="9" t="s">
        <v>5</v>
      </c>
      <c r="B995" s="4" t="s">
        <v>119</v>
      </c>
      <c r="C995" s="9" t="s">
        <v>2315</v>
      </c>
      <c r="D995" s="9" t="s">
        <v>2316</v>
      </c>
      <c r="E995" s="29">
        <v>34900000000</v>
      </c>
      <c r="F995" s="9" t="s">
        <v>1942</v>
      </c>
      <c r="G995" s="43">
        <v>46058</v>
      </c>
      <c r="H995" s="9" t="s">
        <v>856</v>
      </c>
      <c r="I995" s="9" t="s">
        <v>1431</v>
      </c>
      <c r="K995" s="67" t="b">
        <v>1</v>
      </c>
      <c r="N995" s="67" t="b">
        <v>1</v>
      </c>
      <c r="S995" s="8"/>
    </row>
    <row r="996" spans="1:25" ht="14">
      <c r="A996" s="9" t="s">
        <v>5</v>
      </c>
      <c r="B996" s="4" t="s">
        <v>398</v>
      </c>
      <c r="C996" s="47" t="s">
        <v>308</v>
      </c>
      <c r="D996" s="9"/>
      <c r="E996" s="29"/>
      <c r="F996" s="47" t="s">
        <v>70</v>
      </c>
      <c r="G996" s="43">
        <v>46059</v>
      </c>
      <c r="H996" s="9" t="s">
        <v>956</v>
      </c>
      <c r="I996" s="9" t="s">
        <v>448</v>
      </c>
      <c r="K996" s="67" t="b">
        <v>1</v>
      </c>
      <c r="N996" s="67"/>
      <c r="S996" s="4" t="s">
        <v>119</v>
      </c>
      <c r="T996" s="33">
        <v>46059</v>
      </c>
      <c r="U996" s="6">
        <v>175</v>
      </c>
      <c r="V996" s="7">
        <v>0</v>
      </c>
      <c r="W996" s="4">
        <v>1</v>
      </c>
      <c r="X996" s="8">
        <v>46023</v>
      </c>
    </row>
    <row r="997" spans="1:25" ht="12.5">
      <c r="A997" s="9" t="s">
        <v>5</v>
      </c>
      <c r="B997" s="4" t="s">
        <v>119</v>
      </c>
      <c r="C997" s="9" t="s">
        <v>2317</v>
      </c>
      <c r="D997" s="9" t="s">
        <v>2318</v>
      </c>
      <c r="E997" s="29">
        <v>56993595371</v>
      </c>
      <c r="F997" s="9" t="s">
        <v>1167</v>
      </c>
      <c r="G997" s="43">
        <v>46059</v>
      </c>
      <c r="H997" s="9" t="s">
        <v>856</v>
      </c>
      <c r="I997" s="9" t="s">
        <v>459</v>
      </c>
      <c r="K997" s="67" t="b">
        <v>1</v>
      </c>
      <c r="N997" s="67" t="b">
        <v>1</v>
      </c>
      <c r="S997" s="8"/>
    </row>
    <row r="998" spans="1:25" ht="12.5">
      <c r="A998" s="9" t="s">
        <v>381</v>
      </c>
      <c r="B998" s="4" t="s">
        <v>398</v>
      </c>
      <c r="C998" s="9" t="s">
        <v>2319</v>
      </c>
      <c r="D998" s="9" t="s">
        <v>2320</v>
      </c>
      <c r="E998" s="29">
        <v>34659455463</v>
      </c>
      <c r="F998" s="9" t="s">
        <v>102</v>
      </c>
      <c r="G998" s="43">
        <v>46059</v>
      </c>
      <c r="H998" s="9" t="s">
        <v>856</v>
      </c>
      <c r="I998" s="9" t="s">
        <v>459</v>
      </c>
      <c r="K998" s="67" t="b">
        <v>1</v>
      </c>
      <c r="L998" s="68" t="b">
        <v>1</v>
      </c>
      <c r="N998" s="67" t="b">
        <v>1</v>
      </c>
      <c r="S998" s="8"/>
    </row>
    <row r="999" spans="1:25" ht="12.5">
      <c r="A999" s="9" t="s">
        <v>5</v>
      </c>
      <c r="B999" s="4" t="s">
        <v>119</v>
      </c>
      <c r="C999" s="9" t="s">
        <v>2321</v>
      </c>
      <c r="D999" s="9" t="s">
        <v>2322</v>
      </c>
      <c r="E999" s="29">
        <v>525571867358</v>
      </c>
      <c r="F999" s="9" t="s">
        <v>2323</v>
      </c>
      <c r="G999" s="43">
        <v>46059</v>
      </c>
      <c r="H999" s="9" t="s">
        <v>856</v>
      </c>
      <c r="I999" s="9" t="s">
        <v>459</v>
      </c>
      <c r="K999" s="67" t="b">
        <v>1</v>
      </c>
      <c r="N999" s="67" t="b">
        <v>1</v>
      </c>
      <c r="S999" s="8"/>
    </row>
    <row r="1000" spans="1:25" ht="12.5">
      <c r="A1000" s="9" t="s">
        <v>381</v>
      </c>
      <c r="B1000" s="4" t="s">
        <v>398</v>
      </c>
      <c r="C1000" s="9" t="s">
        <v>2324</v>
      </c>
      <c r="D1000" s="9" t="s">
        <v>2325</v>
      </c>
      <c r="E1000" s="29">
        <v>1130372645</v>
      </c>
      <c r="F1000" s="9" t="s">
        <v>1150</v>
      </c>
      <c r="G1000" s="43">
        <v>46060</v>
      </c>
      <c r="H1000" s="9" t="s">
        <v>856</v>
      </c>
      <c r="I1000" s="9" t="s">
        <v>459</v>
      </c>
      <c r="K1000" s="67" t="b">
        <v>1</v>
      </c>
      <c r="N1000" s="67" t="b">
        <v>1</v>
      </c>
      <c r="R1000" s="68" t="b">
        <v>1</v>
      </c>
      <c r="S1000" s="8"/>
      <c r="Y1000" s="4" t="s">
        <v>2326</v>
      </c>
    </row>
    <row r="1001" spans="1:25" ht="12.5">
      <c r="A1001" s="9" t="s">
        <v>5</v>
      </c>
      <c r="B1001" s="4" t="s">
        <v>119</v>
      </c>
      <c r="C1001" s="9" t="s">
        <v>2327</v>
      </c>
      <c r="D1001" s="9" t="s">
        <v>2328</v>
      </c>
      <c r="E1001" s="29">
        <v>61421585081</v>
      </c>
      <c r="F1001" s="9" t="s">
        <v>1255</v>
      </c>
      <c r="G1001" s="43">
        <v>46061</v>
      </c>
      <c r="H1001" s="9" t="s">
        <v>856</v>
      </c>
      <c r="I1001" s="9" t="s">
        <v>459</v>
      </c>
      <c r="K1001" s="67" t="b">
        <v>1</v>
      </c>
      <c r="N1001" s="67" t="b">
        <v>1</v>
      </c>
      <c r="S1001" s="8"/>
    </row>
    <row r="1002" spans="1:25" ht="12.5">
      <c r="A1002" s="9" t="s">
        <v>5</v>
      </c>
      <c r="B1002" s="4" t="s">
        <v>398</v>
      </c>
      <c r="C1002" s="9" t="s">
        <v>2329</v>
      </c>
      <c r="D1002" s="9" t="s">
        <v>2330</v>
      </c>
      <c r="E1002" s="29">
        <v>34685274581</v>
      </c>
      <c r="F1002" s="9" t="s">
        <v>2079</v>
      </c>
      <c r="G1002" s="43">
        <v>46062</v>
      </c>
      <c r="H1002" s="9" t="s">
        <v>856</v>
      </c>
      <c r="I1002" s="9" t="s">
        <v>2299</v>
      </c>
      <c r="K1002" s="67" t="b">
        <v>1</v>
      </c>
      <c r="N1002" s="67" t="b">
        <v>1</v>
      </c>
      <c r="S1002" s="8"/>
    </row>
    <row r="1003" spans="1:25" ht="12.5">
      <c r="A1003" s="9" t="s">
        <v>5</v>
      </c>
      <c r="B1003" s="4" t="s">
        <v>119</v>
      </c>
      <c r="C1003" s="9" t="s">
        <v>2331</v>
      </c>
      <c r="D1003" s="9" t="s">
        <v>2332</v>
      </c>
      <c r="E1003" s="29">
        <v>56964080606</v>
      </c>
      <c r="F1003" s="9" t="s">
        <v>319</v>
      </c>
      <c r="G1003" s="43">
        <v>46062</v>
      </c>
      <c r="H1003" s="9" t="s">
        <v>856</v>
      </c>
      <c r="I1003" s="9" t="s">
        <v>459</v>
      </c>
      <c r="K1003" s="67" t="b">
        <v>1</v>
      </c>
      <c r="N1003" s="67" t="b">
        <v>1</v>
      </c>
      <c r="S1003" s="8"/>
    </row>
    <row r="1004" spans="1:25" ht="12.5">
      <c r="A1004" s="9" t="s">
        <v>5</v>
      </c>
      <c r="B1004" s="4" t="s">
        <v>398</v>
      </c>
      <c r="C1004" s="9" t="s">
        <v>2333</v>
      </c>
      <c r="D1004" s="9" t="s">
        <v>2334</v>
      </c>
      <c r="E1004" s="29">
        <v>573188601203</v>
      </c>
      <c r="F1004" s="9" t="s">
        <v>70</v>
      </c>
      <c r="G1004" s="43">
        <v>46062</v>
      </c>
      <c r="H1004" s="9" t="s">
        <v>856</v>
      </c>
      <c r="I1004" s="9" t="s">
        <v>459</v>
      </c>
      <c r="K1004" s="67" t="b">
        <v>1</v>
      </c>
      <c r="N1004" s="67" t="b">
        <v>1</v>
      </c>
      <c r="Q1004" s="67" t="b">
        <v>1</v>
      </c>
      <c r="S1004" s="8"/>
    </row>
    <row r="1005" spans="1:25" ht="12.5">
      <c r="A1005" s="9" t="s">
        <v>5</v>
      </c>
      <c r="B1005" s="4" t="s">
        <v>119</v>
      </c>
      <c r="C1005" s="9" t="s">
        <v>2335</v>
      </c>
      <c r="D1005" s="9" t="s">
        <v>2336</v>
      </c>
      <c r="E1005" s="29">
        <v>34601434433</v>
      </c>
      <c r="F1005" s="9" t="s">
        <v>319</v>
      </c>
      <c r="G1005" s="43">
        <v>46062</v>
      </c>
      <c r="H1005" s="9" t="s">
        <v>856</v>
      </c>
      <c r="I1005" s="9" t="s">
        <v>459</v>
      </c>
      <c r="K1005" s="67" t="b">
        <v>1</v>
      </c>
      <c r="N1005" s="67" t="b">
        <v>1</v>
      </c>
      <c r="S1005" s="8"/>
    </row>
    <row r="1006" spans="1:25" ht="12.5">
      <c r="A1006" s="9" t="s">
        <v>5</v>
      </c>
      <c r="B1006" s="4" t="s">
        <v>398</v>
      </c>
      <c r="C1006" s="9" t="s">
        <v>2337</v>
      </c>
      <c r="D1006" s="9" t="s">
        <v>2338</v>
      </c>
      <c r="E1006" s="29">
        <v>34600048972</v>
      </c>
      <c r="F1006" s="9" t="s">
        <v>94</v>
      </c>
      <c r="G1006" s="43">
        <v>46062</v>
      </c>
      <c r="H1006" s="9" t="s">
        <v>856</v>
      </c>
      <c r="I1006" s="9" t="s">
        <v>459</v>
      </c>
      <c r="K1006" s="67" t="b">
        <v>1</v>
      </c>
      <c r="M1006" s="68" t="b">
        <v>1</v>
      </c>
      <c r="N1006" s="67" t="b">
        <v>1</v>
      </c>
      <c r="S1006" s="8"/>
    </row>
    <row r="1007" spans="1:25" ht="12.5">
      <c r="A1007" s="9" t="s">
        <v>5</v>
      </c>
      <c r="B1007" s="4" t="s">
        <v>119</v>
      </c>
      <c r="C1007" s="9" t="s">
        <v>2339</v>
      </c>
      <c r="D1007" s="9" t="s">
        <v>2340</v>
      </c>
      <c r="E1007" s="29">
        <v>56993207295</v>
      </c>
      <c r="F1007" s="9" t="s">
        <v>319</v>
      </c>
      <c r="G1007" s="43">
        <v>46062</v>
      </c>
      <c r="H1007" s="9" t="s">
        <v>856</v>
      </c>
      <c r="I1007" s="9" t="s">
        <v>459</v>
      </c>
      <c r="K1007" s="67" t="b">
        <v>1</v>
      </c>
      <c r="S1007" s="8"/>
    </row>
    <row r="1008" spans="1:25" ht="12.5">
      <c r="A1008" s="9" t="s">
        <v>5</v>
      </c>
      <c r="B1008" s="4" t="s">
        <v>398</v>
      </c>
      <c r="C1008" s="9" t="s">
        <v>2341</v>
      </c>
      <c r="D1008" s="9" t="s">
        <v>2342</v>
      </c>
      <c r="E1008" s="29">
        <v>34675862995</v>
      </c>
      <c r="F1008" s="9" t="s">
        <v>52</v>
      </c>
      <c r="G1008" s="43">
        <v>46062</v>
      </c>
      <c r="H1008" s="9" t="s">
        <v>856</v>
      </c>
      <c r="I1008" s="9" t="s">
        <v>459</v>
      </c>
      <c r="K1008" s="67" t="b">
        <v>1</v>
      </c>
      <c r="M1008" s="68" t="b">
        <v>1</v>
      </c>
      <c r="N1008" s="67" t="b">
        <v>1</v>
      </c>
      <c r="S1008" s="8"/>
    </row>
    <row r="1009" spans="1:25" ht="12.5">
      <c r="A1009" s="9" t="s">
        <v>5</v>
      </c>
      <c r="B1009" s="4" t="s">
        <v>119</v>
      </c>
      <c r="C1009" s="9" t="s">
        <v>2343</v>
      </c>
      <c r="D1009" s="9" t="s">
        <v>2344</v>
      </c>
      <c r="E1009" s="29">
        <v>522281402379</v>
      </c>
      <c r="F1009" s="9" t="s">
        <v>2345</v>
      </c>
      <c r="G1009" s="43">
        <v>46062</v>
      </c>
      <c r="H1009" s="9" t="s">
        <v>856</v>
      </c>
      <c r="I1009" s="9" t="s">
        <v>459</v>
      </c>
      <c r="K1009" s="67" t="b">
        <v>1</v>
      </c>
      <c r="S1009" s="8"/>
    </row>
    <row r="1010" spans="1:25" ht="14">
      <c r="A1010" s="9" t="s">
        <v>5</v>
      </c>
      <c r="B1010" s="4" t="s">
        <v>398</v>
      </c>
      <c r="C1010" s="47" t="s">
        <v>86</v>
      </c>
      <c r="D1010" s="9"/>
      <c r="E1010" s="29"/>
      <c r="F1010" s="47" t="s">
        <v>310</v>
      </c>
      <c r="G1010" s="43">
        <v>46062</v>
      </c>
      <c r="H1010" s="9" t="s">
        <v>956</v>
      </c>
      <c r="I1010" s="9" t="s">
        <v>448</v>
      </c>
      <c r="K1010" s="67" t="b">
        <v>1</v>
      </c>
      <c r="S1010" s="4" t="s">
        <v>34</v>
      </c>
      <c r="T1010" s="33">
        <v>46062</v>
      </c>
      <c r="U1010" s="6">
        <v>180</v>
      </c>
      <c r="V1010" s="7">
        <v>0</v>
      </c>
      <c r="W1010" s="4">
        <v>1</v>
      </c>
      <c r="X1010" s="8">
        <v>46023</v>
      </c>
    </row>
    <row r="1011" spans="1:25" ht="12.5">
      <c r="A1011" s="9" t="s">
        <v>5</v>
      </c>
      <c r="B1011" s="4" t="s">
        <v>119</v>
      </c>
      <c r="C1011" s="9" t="s">
        <v>311</v>
      </c>
      <c r="D1011" s="9"/>
      <c r="E1011" s="29" t="s">
        <v>2346</v>
      </c>
      <c r="F1011" s="34" t="s">
        <v>8</v>
      </c>
      <c r="G1011" s="43">
        <v>46062</v>
      </c>
      <c r="H1011" s="9" t="s">
        <v>956</v>
      </c>
      <c r="I1011" s="9" t="s">
        <v>448</v>
      </c>
      <c r="K1011" s="67" t="b">
        <v>1</v>
      </c>
      <c r="S1011" s="4" t="s">
        <v>119</v>
      </c>
      <c r="T1011" s="33">
        <v>46062</v>
      </c>
      <c r="U1011" s="6">
        <v>299</v>
      </c>
      <c r="V1011" s="7">
        <v>0</v>
      </c>
      <c r="W1011" s="4">
        <v>1</v>
      </c>
      <c r="X1011" s="8">
        <v>46023</v>
      </c>
    </row>
    <row r="1012" spans="1:25" ht="12.5">
      <c r="A1012" s="9" t="s">
        <v>5</v>
      </c>
      <c r="B1012" s="4" t="s">
        <v>398</v>
      </c>
      <c r="C1012" s="9" t="s">
        <v>2347</v>
      </c>
      <c r="D1012" s="9" t="s">
        <v>2348</v>
      </c>
      <c r="E1012" s="29">
        <v>573102718348</v>
      </c>
      <c r="F1012" s="9" t="s">
        <v>1119</v>
      </c>
      <c r="G1012" s="43">
        <v>46063</v>
      </c>
      <c r="H1012" s="9" t="s">
        <v>856</v>
      </c>
      <c r="I1012" s="9" t="s">
        <v>459</v>
      </c>
      <c r="K1012" s="67" t="b">
        <v>1</v>
      </c>
      <c r="M1012" s="68" t="b">
        <v>1</v>
      </c>
      <c r="N1012" s="67" t="b">
        <v>1</v>
      </c>
      <c r="S1012" s="8"/>
    </row>
    <row r="1013" spans="1:25" ht="12.5">
      <c r="A1013" s="9" t="s">
        <v>5</v>
      </c>
      <c r="B1013" s="4" t="s">
        <v>119</v>
      </c>
      <c r="C1013" s="9" t="s">
        <v>2349</v>
      </c>
      <c r="D1013" s="9" t="s">
        <v>2163</v>
      </c>
      <c r="E1013" s="29">
        <v>56982872444</v>
      </c>
      <c r="F1013" s="9" t="s">
        <v>70</v>
      </c>
      <c r="G1013" s="43">
        <v>46063</v>
      </c>
      <c r="H1013" s="9" t="s">
        <v>856</v>
      </c>
      <c r="I1013" s="9" t="s">
        <v>459</v>
      </c>
      <c r="K1013" s="67" t="b">
        <v>1</v>
      </c>
      <c r="N1013" s="67" t="b">
        <v>1</v>
      </c>
      <c r="S1013" s="8"/>
    </row>
    <row r="1014" spans="1:25" ht="12.5">
      <c r="A1014" s="9" t="s">
        <v>5</v>
      </c>
      <c r="B1014" s="4" t="s">
        <v>398</v>
      </c>
      <c r="C1014" s="9" t="s">
        <v>2350</v>
      </c>
      <c r="D1014" s="9" t="s">
        <v>2351</v>
      </c>
      <c r="E1014" s="29">
        <v>56940111853</v>
      </c>
      <c r="F1014" s="9" t="s">
        <v>70</v>
      </c>
      <c r="G1014" s="43">
        <v>46063</v>
      </c>
      <c r="H1014" s="9" t="s">
        <v>856</v>
      </c>
      <c r="I1014" s="9" t="s">
        <v>941</v>
      </c>
      <c r="K1014" s="67" t="b">
        <v>1</v>
      </c>
      <c r="N1014" s="67" t="b">
        <v>1</v>
      </c>
      <c r="Q1014" s="67" t="b">
        <v>1</v>
      </c>
      <c r="S1014" s="8"/>
    </row>
    <row r="1015" spans="1:25" ht="12.5">
      <c r="A1015" s="9" t="s">
        <v>5</v>
      </c>
      <c r="B1015" s="4" t="s">
        <v>119</v>
      </c>
      <c r="C1015" s="9" t="s">
        <v>2352</v>
      </c>
      <c r="D1015" s="9" t="s">
        <v>314</v>
      </c>
      <c r="E1015" s="29">
        <v>523325912324</v>
      </c>
      <c r="F1015" s="9" t="s">
        <v>70</v>
      </c>
      <c r="G1015" s="43">
        <v>46063</v>
      </c>
      <c r="H1015" s="9" t="s">
        <v>856</v>
      </c>
      <c r="I1015" s="9" t="s">
        <v>459</v>
      </c>
      <c r="K1015" s="67" t="b">
        <v>1</v>
      </c>
      <c r="S1015" s="8"/>
    </row>
    <row r="1016" spans="1:25" ht="12.5">
      <c r="A1016" s="9" t="s">
        <v>381</v>
      </c>
      <c r="B1016" s="4" t="s">
        <v>398</v>
      </c>
      <c r="C1016" s="9" t="s">
        <v>2353</v>
      </c>
      <c r="D1016" s="9" t="s">
        <v>2354</v>
      </c>
      <c r="E1016" s="29">
        <v>2645483329</v>
      </c>
      <c r="F1016" s="9" t="s">
        <v>2355</v>
      </c>
      <c r="G1016" s="43">
        <v>46063</v>
      </c>
      <c r="H1016" s="9" t="s">
        <v>856</v>
      </c>
      <c r="I1016" s="9" t="s">
        <v>459</v>
      </c>
      <c r="K1016" s="67" t="b">
        <v>1</v>
      </c>
      <c r="O1016" s="68" t="b">
        <v>1</v>
      </c>
      <c r="S1016" s="8"/>
      <c r="Y1016" s="4" t="s">
        <v>2356</v>
      </c>
    </row>
    <row r="1017" spans="1:25" ht="12.5">
      <c r="A1017" s="9" t="s">
        <v>5</v>
      </c>
      <c r="B1017" s="4" t="s">
        <v>119</v>
      </c>
      <c r="C1017" s="9" t="s">
        <v>2357</v>
      </c>
      <c r="D1017" s="9" t="s">
        <v>2358</v>
      </c>
      <c r="E1017" s="29">
        <v>18296376677</v>
      </c>
      <c r="F1017" s="9" t="s">
        <v>319</v>
      </c>
      <c r="G1017" s="43">
        <v>46063</v>
      </c>
      <c r="H1017" s="9" t="s">
        <v>856</v>
      </c>
      <c r="I1017" s="9" t="s">
        <v>459</v>
      </c>
      <c r="J1017" s="4"/>
      <c r="K1017" s="67" t="b">
        <v>1</v>
      </c>
      <c r="L1017" s="4"/>
      <c r="M1017" s="4"/>
      <c r="N1017" s="4"/>
      <c r="O1017" s="4"/>
      <c r="P1017" s="4"/>
      <c r="Q1017" s="4"/>
      <c r="R1017" s="4"/>
      <c r="S1017" s="8"/>
    </row>
    <row r="1018" spans="1:25" ht="12.5">
      <c r="A1018" s="9" t="s">
        <v>5</v>
      </c>
      <c r="B1018" s="4" t="s">
        <v>398</v>
      </c>
      <c r="C1018" s="9" t="s">
        <v>2359</v>
      </c>
      <c r="D1018" s="9" t="s">
        <v>2360</v>
      </c>
      <c r="E1018" s="29">
        <v>541163302004</v>
      </c>
      <c r="F1018" s="9" t="s">
        <v>1850</v>
      </c>
      <c r="G1018" s="43">
        <v>46064</v>
      </c>
      <c r="H1018" s="9" t="s">
        <v>856</v>
      </c>
      <c r="I1018" s="9" t="s">
        <v>459</v>
      </c>
      <c r="J1018" s="4"/>
      <c r="K1018" s="67" t="b">
        <v>1</v>
      </c>
      <c r="L1018" s="4"/>
      <c r="M1018" s="68" t="b">
        <v>1</v>
      </c>
      <c r="N1018" s="67" t="b">
        <v>1</v>
      </c>
      <c r="O1018" s="4"/>
      <c r="P1018" s="4"/>
      <c r="Q1018" s="4"/>
      <c r="R1018" s="4"/>
      <c r="S1018" s="8"/>
    </row>
    <row r="1019" spans="1:25" ht="12.5">
      <c r="A1019" s="9" t="s">
        <v>5</v>
      </c>
      <c r="B1019" s="4" t="s">
        <v>119</v>
      </c>
      <c r="C1019" s="9" t="s">
        <v>404</v>
      </c>
      <c r="D1019" s="9" t="s">
        <v>405</v>
      </c>
      <c r="E1019" s="29">
        <v>34660144954</v>
      </c>
      <c r="F1019" s="9" t="s">
        <v>8</v>
      </c>
      <c r="G1019" s="43">
        <v>46064</v>
      </c>
      <c r="H1019" s="9" t="s">
        <v>856</v>
      </c>
      <c r="I1019" s="9" t="s">
        <v>459</v>
      </c>
      <c r="J1019" s="4"/>
      <c r="K1019" s="67" t="b">
        <v>1</v>
      </c>
      <c r="L1019" s="4"/>
      <c r="M1019" s="4"/>
      <c r="N1019" s="4"/>
      <c r="O1019" s="4"/>
      <c r="P1019" s="4"/>
      <c r="Q1019" s="4"/>
      <c r="R1019" s="4"/>
      <c r="S1019" s="8"/>
    </row>
    <row r="1020" spans="1:25" ht="12.5">
      <c r="A1020" s="9" t="s">
        <v>5</v>
      </c>
      <c r="B1020" s="4" t="s">
        <v>398</v>
      </c>
      <c r="C1020" s="9" t="s">
        <v>404</v>
      </c>
      <c r="D1020" s="9" t="s">
        <v>405</v>
      </c>
      <c r="E1020" s="29">
        <v>34660144954</v>
      </c>
      <c r="F1020" s="9" t="s">
        <v>8</v>
      </c>
      <c r="G1020" s="43">
        <v>46064</v>
      </c>
      <c r="H1020" s="9" t="s">
        <v>856</v>
      </c>
      <c r="I1020" s="9" t="s">
        <v>448</v>
      </c>
      <c r="J1020" s="4"/>
      <c r="K1020" s="67" t="b">
        <v>1</v>
      </c>
      <c r="L1020" s="4"/>
      <c r="M1020" s="68" t="b">
        <v>1</v>
      </c>
      <c r="N1020" s="67" t="b">
        <v>1</v>
      </c>
      <c r="O1020" s="4"/>
      <c r="P1020" s="4"/>
      <c r="Q1020" s="4"/>
      <c r="R1020" s="4"/>
      <c r="S1020" s="4" t="s">
        <v>398</v>
      </c>
      <c r="T1020" s="16">
        <v>46143</v>
      </c>
      <c r="U1020" s="6">
        <v>209</v>
      </c>
      <c r="V1020" s="4">
        <v>0</v>
      </c>
      <c r="W1020" s="4">
        <v>1</v>
      </c>
      <c r="X1020" s="8">
        <v>46023</v>
      </c>
    </row>
    <row r="1021" spans="1:25" ht="12.5">
      <c r="A1021" s="9" t="s">
        <v>5</v>
      </c>
      <c r="B1021" s="4" t="s">
        <v>119</v>
      </c>
      <c r="C1021" s="9" t="s">
        <v>2361</v>
      </c>
      <c r="D1021" s="9" t="s">
        <v>2362</v>
      </c>
      <c r="E1021" s="29">
        <v>34635116419</v>
      </c>
      <c r="F1021" s="9" t="s">
        <v>395</v>
      </c>
      <c r="G1021" s="43">
        <v>46064</v>
      </c>
      <c r="H1021" s="9" t="s">
        <v>856</v>
      </c>
      <c r="I1021" s="9" t="s">
        <v>459</v>
      </c>
      <c r="J1021" s="4"/>
      <c r="K1021" s="67" t="b">
        <v>1</v>
      </c>
      <c r="L1021" s="4"/>
      <c r="M1021" s="4"/>
      <c r="N1021" s="4"/>
      <c r="O1021" s="4"/>
      <c r="P1021" s="4"/>
      <c r="Q1021" s="4"/>
      <c r="R1021" s="4"/>
      <c r="S1021" s="8"/>
    </row>
    <row r="1022" spans="1:25" ht="12.5">
      <c r="A1022" s="9" t="s">
        <v>5</v>
      </c>
      <c r="B1022" s="4" t="s">
        <v>398</v>
      </c>
      <c r="C1022" s="9" t="s">
        <v>2363</v>
      </c>
      <c r="D1022" s="9" t="s">
        <v>2364</v>
      </c>
      <c r="E1022" s="29">
        <v>523121139775</v>
      </c>
      <c r="F1022" s="9" t="s">
        <v>56</v>
      </c>
      <c r="G1022" s="43">
        <v>46064</v>
      </c>
      <c r="H1022" s="9" t="s">
        <v>856</v>
      </c>
      <c r="I1022" s="4" t="s">
        <v>459</v>
      </c>
      <c r="J1022" s="4"/>
      <c r="K1022" s="67" t="b">
        <v>1</v>
      </c>
      <c r="L1022" s="4"/>
      <c r="M1022" s="4"/>
      <c r="N1022" s="67" t="b">
        <v>1</v>
      </c>
      <c r="O1022" s="4"/>
      <c r="P1022" s="4"/>
      <c r="Q1022" s="4"/>
      <c r="R1022" s="4"/>
      <c r="S1022" s="8"/>
    </row>
    <row r="1023" spans="1:25" ht="12.5">
      <c r="A1023" s="9" t="s">
        <v>5</v>
      </c>
      <c r="B1023" s="4" t="s">
        <v>119</v>
      </c>
      <c r="C1023" s="9" t="s">
        <v>2365</v>
      </c>
      <c r="D1023" s="9" t="s">
        <v>2366</v>
      </c>
      <c r="E1023" s="29">
        <v>34606626125</v>
      </c>
      <c r="F1023" s="9" t="s">
        <v>70</v>
      </c>
      <c r="G1023" s="43">
        <v>46065</v>
      </c>
      <c r="H1023" s="9" t="s">
        <v>856</v>
      </c>
      <c r="I1023" s="4" t="s">
        <v>459</v>
      </c>
      <c r="J1023" s="4"/>
      <c r="K1023" s="67" t="b">
        <v>1</v>
      </c>
      <c r="L1023" s="4"/>
      <c r="M1023" s="4"/>
      <c r="N1023" s="4"/>
      <c r="O1023" s="4"/>
      <c r="P1023" s="4"/>
      <c r="Q1023" s="4"/>
      <c r="R1023" s="4"/>
      <c r="S1023" s="8"/>
    </row>
    <row r="1024" spans="1:25" ht="12.5">
      <c r="A1024" s="4" t="s">
        <v>240</v>
      </c>
      <c r="B1024" s="4" t="s">
        <v>398</v>
      </c>
      <c r="C1024" s="4" t="s">
        <v>2367</v>
      </c>
      <c r="E1024" s="4" t="s">
        <v>2368</v>
      </c>
      <c r="F1024" s="4" t="s">
        <v>2369</v>
      </c>
      <c r="G1024" s="43">
        <v>46065</v>
      </c>
      <c r="H1024" s="9" t="s">
        <v>956</v>
      </c>
      <c r="I1024" s="4" t="s">
        <v>1097</v>
      </c>
      <c r="J1024" s="4"/>
      <c r="K1024" s="67" t="b">
        <v>1</v>
      </c>
      <c r="L1024" s="4"/>
      <c r="M1024" s="4"/>
      <c r="N1024" s="4"/>
      <c r="O1024" s="4"/>
      <c r="P1024" s="4"/>
      <c r="Q1024" s="4"/>
      <c r="R1024" s="4"/>
      <c r="S1024" s="8"/>
    </row>
    <row r="1025" spans="1:24" ht="12.5">
      <c r="A1025" s="9" t="s">
        <v>5</v>
      </c>
      <c r="B1025" s="4" t="s">
        <v>119</v>
      </c>
      <c r="C1025" s="4" t="s">
        <v>317</v>
      </c>
      <c r="E1025" s="4" t="s">
        <v>2370</v>
      </c>
      <c r="F1025" s="4" t="s">
        <v>2371</v>
      </c>
      <c r="G1025" s="43">
        <v>46065</v>
      </c>
      <c r="H1025" s="9" t="s">
        <v>956</v>
      </c>
      <c r="I1025" s="4" t="s">
        <v>459</v>
      </c>
      <c r="J1025" s="68" t="b">
        <v>1</v>
      </c>
      <c r="K1025" s="67" t="b">
        <v>1</v>
      </c>
      <c r="L1025" s="4"/>
      <c r="M1025" s="4"/>
      <c r="N1025" s="4"/>
      <c r="O1025" s="4"/>
      <c r="P1025" s="4"/>
      <c r="Q1025" s="4"/>
      <c r="R1025" s="4"/>
      <c r="S1025" s="8"/>
    </row>
    <row r="1026" spans="1:24" ht="12.5">
      <c r="A1026" s="9" t="s">
        <v>5</v>
      </c>
      <c r="B1026" s="4" t="s">
        <v>398</v>
      </c>
      <c r="C1026" s="4" t="s">
        <v>2372</v>
      </c>
      <c r="D1026" s="42" t="s">
        <v>2373</v>
      </c>
      <c r="F1026" s="4" t="s">
        <v>27</v>
      </c>
      <c r="G1026" s="43">
        <v>46065</v>
      </c>
      <c r="H1026" s="9" t="s">
        <v>856</v>
      </c>
      <c r="I1026" s="4" t="s">
        <v>459</v>
      </c>
      <c r="J1026" s="4"/>
      <c r="K1026" s="4"/>
      <c r="L1026" s="68" t="b">
        <v>1</v>
      </c>
      <c r="M1026" s="4"/>
      <c r="N1026" s="4"/>
      <c r="O1026" s="68" t="b">
        <v>1</v>
      </c>
      <c r="P1026" s="4"/>
      <c r="Q1026" s="4"/>
      <c r="R1026" s="4"/>
      <c r="S1026" s="8"/>
    </row>
    <row r="1027" spans="1:24" ht="12.5">
      <c r="A1027" s="9" t="s">
        <v>5</v>
      </c>
      <c r="B1027" s="4" t="s">
        <v>119</v>
      </c>
      <c r="C1027" s="4" t="s">
        <v>2374</v>
      </c>
      <c r="D1027" s="4" t="s">
        <v>2375</v>
      </c>
      <c r="E1027" s="4">
        <v>34651660350</v>
      </c>
      <c r="F1027" s="4" t="s">
        <v>1842</v>
      </c>
      <c r="G1027" s="43">
        <v>46065</v>
      </c>
      <c r="H1027" s="9" t="s">
        <v>856</v>
      </c>
      <c r="I1027" s="4" t="s">
        <v>459</v>
      </c>
      <c r="K1027" s="67" t="b">
        <v>1</v>
      </c>
      <c r="L1027" s="68" t="b">
        <v>0</v>
      </c>
      <c r="N1027" s="67" t="b">
        <v>1</v>
      </c>
      <c r="S1027" s="8"/>
    </row>
    <row r="1028" spans="1:24" ht="12.5">
      <c r="A1028" s="9" t="s">
        <v>5</v>
      </c>
      <c r="B1028" s="4" t="s">
        <v>398</v>
      </c>
      <c r="C1028" s="4" t="s">
        <v>2376</v>
      </c>
      <c r="D1028" s="4" t="s">
        <v>2377</v>
      </c>
      <c r="E1028" s="4">
        <v>525518882647</v>
      </c>
      <c r="F1028" s="4" t="s">
        <v>63</v>
      </c>
      <c r="G1028" s="43">
        <v>46065</v>
      </c>
      <c r="H1028" s="9" t="s">
        <v>856</v>
      </c>
      <c r="I1028" s="4" t="s">
        <v>459</v>
      </c>
      <c r="K1028" s="67" t="b">
        <v>1</v>
      </c>
      <c r="L1028" s="68" t="b">
        <v>0</v>
      </c>
      <c r="N1028" s="67" t="b">
        <v>1</v>
      </c>
      <c r="S1028" s="8"/>
    </row>
    <row r="1029" spans="1:24" ht="12.5">
      <c r="A1029" s="9" t="s">
        <v>5</v>
      </c>
      <c r="B1029" s="4" t="s">
        <v>119</v>
      </c>
      <c r="C1029" s="4" t="s">
        <v>2378</v>
      </c>
      <c r="D1029" s="4" t="s">
        <v>2379</v>
      </c>
      <c r="E1029" s="4">
        <v>543412294934</v>
      </c>
      <c r="F1029" s="4" t="s">
        <v>294</v>
      </c>
      <c r="G1029" s="43">
        <v>46066</v>
      </c>
      <c r="H1029" s="9" t="s">
        <v>856</v>
      </c>
      <c r="I1029" s="4" t="s">
        <v>459</v>
      </c>
      <c r="K1029" s="67" t="b">
        <v>1</v>
      </c>
      <c r="L1029" s="68" t="b">
        <v>0</v>
      </c>
      <c r="S1029" s="8"/>
    </row>
    <row r="1030" spans="1:24" ht="12.5">
      <c r="A1030" s="9" t="s">
        <v>5</v>
      </c>
      <c r="B1030" s="4" t="s">
        <v>398</v>
      </c>
      <c r="C1030" s="4" t="s">
        <v>2380</v>
      </c>
      <c r="D1030" s="4" t="s">
        <v>2381</v>
      </c>
      <c r="E1030" s="4">
        <v>34717719221</v>
      </c>
      <c r="F1030" s="4" t="s">
        <v>294</v>
      </c>
      <c r="G1030" s="43">
        <v>46066</v>
      </c>
      <c r="H1030" s="9" t="s">
        <v>856</v>
      </c>
      <c r="I1030" s="4" t="s">
        <v>886</v>
      </c>
      <c r="K1030" s="67" t="b">
        <v>1</v>
      </c>
      <c r="L1030" s="68" t="b">
        <v>0</v>
      </c>
      <c r="M1030" s="68" t="b">
        <v>1</v>
      </c>
      <c r="N1030" s="67" t="b">
        <v>1</v>
      </c>
      <c r="S1030" s="8"/>
    </row>
    <row r="1031" spans="1:24" ht="12.5">
      <c r="A1031" s="9" t="s">
        <v>5</v>
      </c>
      <c r="B1031" s="4" t="s">
        <v>119</v>
      </c>
      <c r="C1031" s="4" t="s">
        <v>2382</v>
      </c>
      <c r="D1031" s="4" t="s">
        <v>325</v>
      </c>
      <c r="E1031" s="4">
        <v>34622793116</v>
      </c>
      <c r="F1031" s="4" t="s">
        <v>129</v>
      </c>
      <c r="G1031" s="43">
        <v>46068</v>
      </c>
      <c r="H1031" s="9" t="s">
        <v>856</v>
      </c>
      <c r="I1031" s="4" t="s">
        <v>448</v>
      </c>
      <c r="K1031" s="67" t="b">
        <v>1</v>
      </c>
      <c r="L1031" s="68" t="b">
        <v>0</v>
      </c>
      <c r="N1031" s="67" t="b">
        <v>1</v>
      </c>
      <c r="Q1031" s="67" t="b">
        <v>1</v>
      </c>
      <c r="S1031" s="4" t="s">
        <v>119</v>
      </c>
      <c r="T1031" s="33">
        <v>46076</v>
      </c>
      <c r="U1031" s="6">
        <v>90</v>
      </c>
      <c r="V1031" s="7">
        <v>0.3</v>
      </c>
      <c r="W1031" s="4">
        <v>3</v>
      </c>
      <c r="X1031" s="8">
        <v>46082</v>
      </c>
    </row>
    <row r="1032" spans="1:24" ht="12.5">
      <c r="A1032" s="9" t="s">
        <v>5</v>
      </c>
      <c r="B1032" s="4" t="s">
        <v>398</v>
      </c>
      <c r="C1032" s="4" t="s">
        <v>2383</v>
      </c>
      <c r="D1032" s="4" t="s">
        <v>2384</v>
      </c>
      <c r="E1032" s="4">
        <v>34671643132</v>
      </c>
      <c r="F1032" s="4" t="s">
        <v>2385</v>
      </c>
      <c r="G1032" s="43">
        <v>46068</v>
      </c>
      <c r="H1032" s="9" t="s">
        <v>856</v>
      </c>
      <c r="I1032" s="4" t="s">
        <v>459</v>
      </c>
      <c r="K1032" s="67" t="b">
        <v>1</v>
      </c>
      <c r="L1032" s="68" t="b">
        <v>0</v>
      </c>
      <c r="M1032" s="68" t="b">
        <v>1</v>
      </c>
      <c r="N1032" s="67" t="b">
        <v>1</v>
      </c>
      <c r="S1032" s="8"/>
    </row>
    <row r="1033" spans="1:24" ht="12.5">
      <c r="A1033" s="9" t="s">
        <v>5</v>
      </c>
      <c r="B1033" s="4" t="s">
        <v>119</v>
      </c>
      <c r="C1033" s="4" t="s">
        <v>2386</v>
      </c>
      <c r="D1033" s="4" t="s">
        <v>2387</v>
      </c>
      <c r="E1033" s="4">
        <v>34606677720</v>
      </c>
      <c r="F1033" s="4" t="s">
        <v>403</v>
      </c>
      <c r="G1033" s="43">
        <v>46068</v>
      </c>
      <c r="H1033" s="9" t="s">
        <v>856</v>
      </c>
      <c r="I1033" s="4" t="s">
        <v>1097</v>
      </c>
      <c r="K1033" s="67" t="b">
        <v>1</v>
      </c>
      <c r="L1033" s="68" t="b">
        <v>0</v>
      </c>
      <c r="S1033" s="8"/>
    </row>
    <row r="1034" spans="1:24" ht="12.5">
      <c r="A1034" s="9" t="s">
        <v>5</v>
      </c>
      <c r="B1034" s="4" t="s">
        <v>398</v>
      </c>
      <c r="C1034" s="4" t="s">
        <v>2388</v>
      </c>
      <c r="D1034" s="4" t="s">
        <v>2389</v>
      </c>
      <c r="E1034" s="4">
        <v>56945224544</v>
      </c>
      <c r="F1034" s="4" t="s">
        <v>324</v>
      </c>
      <c r="G1034" s="43">
        <v>46067</v>
      </c>
      <c r="H1034" s="9" t="s">
        <v>856</v>
      </c>
      <c r="I1034" s="4" t="s">
        <v>459</v>
      </c>
      <c r="K1034" s="9" t="s">
        <v>856</v>
      </c>
      <c r="L1034" s="68" t="b">
        <v>0</v>
      </c>
      <c r="N1034" s="67" t="b">
        <v>1</v>
      </c>
      <c r="Q1034" s="67" t="b">
        <v>1</v>
      </c>
      <c r="S1034" s="8"/>
    </row>
    <row r="1035" spans="1:24" ht="12.5">
      <c r="A1035" s="9" t="s">
        <v>5</v>
      </c>
      <c r="B1035" s="4" t="s">
        <v>119</v>
      </c>
      <c r="C1035" s="4" t="s">
        <v>2390</v>
      </c>
      <c r="D1035" s="4" t="s">
        <v>2391</v>
      </c>
      <c r="E1035" s="4">
        <v>529983411437</v>
      </c>
      <c r="F1035" s="4" t="s">
        <v>1468</v>
      </c>
      <c r="G1035" s="43">
        <v>46069</v>
      </c>
      <c r="H1035" s="9" t="s">
        <v>856</v>
      </c>
      <c r="I1035" s="4" t="s">
        <v>459</v>
      </c>
      <c r="K1035" s="67" t="b">
        <v>1</v>
      </c>
      <c r="L1035" s="68" t="b">
        <v>0</v>
      </c>
      <c r="S1035" s="8"/>
    </row>
    <row r="1036" spans="1:24" ht="12.5">
      <c r="A1036" s="9" t="s">
        <v>5</v>
      </c>
      <c r="B1036" s="4" t="s">
        <v>398</v>
      </c>
      <c r="C1036" s="4" t="s">
        <v>2392</v>
      </c>
      <c r="D1036" s="4" t="s">
        <v>2393</v>
      </c>
      <c r="E1036" s="4">
        <v>34666656475</v>
      </c>
      <c r="F1036" s="4" t="s">
        <v>52</v>
      </c>
      <c r="G1036" s="43">
        <v>46069</v>
      </c>
      <c r="H1036" s="9" t="s">
        <v>856</v>
      </c>
      <c r="I1036" s="4" t="s">
        <v>459</v>
      </c>
      <c r="K1036" s="67" t="b">
        <v>1</v>
      </c>
      <c r="L1036" s="68" t="b">
        <v>0</v>
      </c>
      <c r="M1036" s="68" t="b">
        <v>1</v>
      </c>
      <c r="N1036" s="67" t="b">
        <v>1</v>
      </c>
      <c r="S1036" s="8"/>
    </row>
    <row r="1037" spans="1:24" ht="12.5">
      <c r="A1037" s="9" t="s">
        <v>5</v>
      </c>
      <c r="B1037" s="4" t="s">
        <v>119</v>
      </c>
      <c r="C1037" s="4" t="s">
        <v>2394</v>
      </c>
      <c r="D1037" s="4" t="s">
        <v>323</v>
      </c>
      <c r="E1037" s="4">
        <v>562993344756</v>
      </c>
      <c r="F1037" s="4" t="s">
        <v>324</v>
      </c>
      <c r="G1037" s="43">
        <v>46068</v>
      </c>
      <c r="H1037" s="9" t="s">
        <v>856</v>
      </c>
      <c r="I1037" s="4" t="s">
        <v>459</v>
      </c>
      <c r="K1037" s="67" t="b">
        <v>1</v>
      </c>
      <c r="L1037" s="68" t="b">
        <v>1</v>
      </c>
      <c r="S1037" s="8"/>
    </row>
    <row r="1038" spans="1:24" ht="12.5">
      <c r="A1038" s="9" t="s">
        <v>5</v>
      </c>
      <c r="B1038" s="4" t="s">
        <v>398</v>
      </c>
      <c r="C1038" s="4" t="s">
        <v>2395</v>
      </c>
      <c r="D1038" s="4" t="s">
        <v>2396</v>
      </c>
      <c r="E1038" s="4">
        <v>18098097078936</v>
      </c>
      <c r="F1038" s="4" t="s">
        <v>319</v>
      </c>
      <c r="G1038" s="43">
        <v>46069</v>
      </c>
      <c r="H1038" s="9" t="s">
        <v>856</v>
      </c>
      <c r="I1038" s="4" t="s">
        <v>459</v>
      </c>
      <c r="K1038" s="67" t="b">
        <v>1</v>
      </c>
      <c r="L1038" s="68" t="b">
        <v>1</v>
      </c>
      <c r="S1038" s="8"/>
    </row>
    <row r="1039" spans="1:24" ht="12.5">
      <c r="A1039" s="9" t="s">
        <v>5</v>
      </c>
      <c r="B1039" s="4" t="s">
        <v>119</v>
      </c>
      <c r="C1039" s="4" t="s">
        <v>2397</v>
      </c>
      <c r="D1039" s="4" t="s">
        <v>2398</v>
      </c>
      <c r="E1039" s="4">
        <v>50259950035</v>
      </c>
      <c r="F1039" s="4" t="s">
        <v>1307</v>
      </c>
      <c r="G1039" s="43">
        <v>46069</v>
      </c>
      <c r="H1039" s="9" t="s">
        <v>856</v>
      </c>
      <c r="I1039" s="4" t="s">
        <v>459</v>
      </c>
      <c r="K1039" s="67" t="b">
        <v>1</v>
      </c>
      <c r="L1039" s="68" t="b">
        <v>0</v>
      </c>
      <c r="S1039" s="8"/>
    </row>
    <row r="1040" spans="1:24" ht="12.5">
      <c r="A1040" s="9" t="s">
        <v>381</v>
      </c>
      <c r="B1040" s="4" t="s">
        <v>398</v>
      </c>
      <c r="C1040" s="4" t="s">
        <v>2399</v>
      </c>
      <c r="D1040" s="4" t="s">
        <v>2400</v>
      </c>
      <c r="E1040" s="4">
        <v>34678665344</v>
      </c>
      <c r="F1040" s="4" t="s">
        <v>2401</v>
      </c>
      <c r="G1040" s="43">
        <v>46069</v>
      </c>
      <c r="H1040" s="9" t="s">
        <v>856</v>
      </c>
      <c r="I1040" s="4" t="s">
        <v>886</v>
      </c>
      <c r="K1040" s="67" t="b">
        <v>1</v>
      </c>
      <c r="L1040" s="68" t="b">
        <v>0</v>
      </c>
      <c r="S1040" s="8"/>
    </row>
    <row r="1041" spans="1:25" ht="12.5">
      <c r="A1041" s="9" t="s">
        <v>381</v>
      </c>
      <c r="B1041" s="4" t="s">
        <v>119</v>
      </c>
      <c r="C1041" s="4" t="s">
        <v>2402</v>
      </c>
      <c r="D1041" s="4" t="s">
        <v>2403</v>
      </c>
      <c r="E1041" s="4">
        <v>59178925254</v>
      </c>
      <c r="F1041" s="4" t="s">
        <v>2404</v>
      </c>
      <c r="G1041" s="43">
        <v>46070</v>
      </c>
      <c r="H1041" s="9" t="s">
        <v>856</v>
      </c>
      <c r="I1041" s="4" t="s">
        <v>459</v>
      </c>
      <c r="K1041" s="67" t="b">
        <v>1</v>
      </c>
      <c r="L1041" s="68" t="b">
        <v>0</v>
      </c>
      <c r="N1041" s="67" t="b">
        <v>1</v>
      </c>
      <c r="S1041" s="8"/>
    </row>
    <row r="1042" spans="1:25" ht="12.5">
      <c r="A1042" s="9" t="s">
        <v>5</v>
      </c>
      <c r="B1042" s="4" t="s">
        <v>398</v>
      </c>
      <c r="C1042" s="4" t="s">
        <v>2405</v>
      </c>
      <c r="D1042" s="4" t="s">
        <v>2406</v>
      </c>
      <c r="E1042" s="4">
        <v>34626237916</v>
      </c>
      <c r="F1042" s="4" t="s">
        <v>1265</v>
      </c>
      <c r="G1042" s="43">
        <v>46070</v>
      </c>
      <c r="H1042" s="9" t="s">
        <v>856</v>
      </c>
      <c r="I1042" s="4" t="s">
        <v>459</v>
      </c>
      <c r="K1042" s="67" t="b">
        <v>1</v>
      </c>
      <c r="L1042" s="68" t="b">
        <v>0</v>
      </c>
      <c r="N1042" s="67" t="b">
        <v>1</v>
      </c>
      <c r="Q1042" s="67" t="b">
        <v>1</v>
      </c>
      <c r="S1042" s="8"/>
    </row>
    <row r="1043" spans="1:25" ht="12.5">
      <c r="A1043" s="9" t="s">
        <v>5</v>
      </c>
      <c r="B1043" s="4" t="s">
        <v>119</v>
      </c>
      <c r="C1043" s="4" t="s">
        <v>2407</v>
      </c>
      <c r="D1043" s="4" t="s">
        <v>2408</v>
      </c>
      <c r="E1043" s="4">
        <v>34683466029</v>
      </c>
      <c r="F1043" s="4" t="s">
        <v>70</v>
      </c>
      <c r="G1043" s="43">
        <v>46070</v>
      </c>
      <c r="H1043" s="9" t="s">
        <v>856</v>
      </c>
      <c r="I1043" s="4" t="s">
        <v>459</v>
      </c>
      <c r="K1043" s="67" t="b">
        <v>1</v>
      </c>
      <c r="L1043" s="68" t="b">
        <v>0</v>
      </c>
      <c r="N1043" s="67" t="b">
        <v>1</v>
      </c>
      <c r="Q1043" s="67" t="b">
        <v>1</v>
      </c>
      <c r="S1043" s="8"/>
    </row>
    <row r="1044" spans="1:25" ht="12.5">
      <c r="A1044" s="9" t="s">
        <v>381</v>
      </c>
      <c r="B1044" s="4" t="s">
        <v>398</v>
      </c>
      <c r="C1044" s="4" t="s">
        <v>2409</v>
      </c>
      <c r="D1044" s="4" t="s">
        <v>2410</v>
      </c>
      <c r="E1044" s="4">
        <v>595982588064</v>
      </c>
      <c r="F1044" s="4" t="s">
        <v>2411</v>
      </c>
      <c r="G1044" s="43">
        <v>46070</v>
      </c>
      <c r="H1044" s="9" t="s">
        <v>856</v>
      </c>
      <c r="I1044" s="4" t="s">
        <v>459</v>
      </c>
      <c r="K1044" s="67" t="b">
        <v>1</v>
      </c>
      <c r="L1044" s="68" t="b">
        <v>0</v>
      </c>
      <c r="N1044" s="67" t="b">
        <v>1</v>
      </c>
      <c r="Q1044" s="67" t="b">
        <v>1</v>
      </c>
      <c r="S1044" s="8"/>
    </row>
    <row r="1045" spans="1:25" ht="12.5">
      <c r="A1045" s="9" t="s">
        <v>381</v>
      </c>
      <c r="B1045" s="4" t="s">
        <v>119</v>
      </c>
      <c r="C1045" s="4" t="s">
        <v>2412</v>
      </c>
      <c r="D1045" s="4" t="s">
        <v>2413</v>
      </c>
      <c r="E1045" s="4">
        <v>34666185334</v>
      </c>
      <c r="F1045" s="4" t="s">
        <v>2178</v>
      </c>
      <c r="G1045" s="43">
        <v>46070</v>
      </c>
      <c r="H1045" s="9" t="s">
        <v>856</v>
      </c>
      <c r="I1045" s="4" t="s">
        <v>459</v>
      </c>
      <c r="K1045" s="67" t="b">
        <v>1</v>
      </c>
      <c r="L1045" s="68" t="b">
        <v>0</v>
      </c>
      <c r="N1045" s="67" t="b">
        <v>1</v>
      </c>
      <c r="S1045" s="8"/>
    </row>
    <row r="1046" spans="1:25" ht="12.5">
      <c r="A1046" s="9" t="s">
        <v>381</v>
      </c>
      <c r="B1046" s="4" t="s">
        <v>398</v>
      </c>
      <c r="C1046" s="4" t="s">
        <v>2414</v>
      </c>
      <c r="D1046" s="4" t="s">
        <v>2415</v>
      </c>
      <c r="E1046" s="4">
        <v>525578800331</v>
      </c>
      <c r="F1046" s="4" t="s">
        <v>2416</v>
      </c>
      <c r="G1046" s="43">
        <v>46070</v>
      </c>
      <c r="H1046" s="9" t="s">
        <v>856</v>
      </c>
      <c r="I1046" s="4" t="s">
        <v>459</v>
      </c>
      <c r="K1046" s="67" t="b">
        <v>1</v>
      </c>
      <c r="L1046" s="68" t="b">
        <v>0</v>
      </c>
      <c r="N1046" s="67" t="b">
        <v>1</v>
      </c>
      <c r="S1046" s="8"/>
    </row>
    <row r="1047" spans="1:25" ht="12.5">
      <c r="A1047" s="9" t="s">
        <v>5</v>
      </c>
      <c r="B1047" s="4" t="s">
        <v>119</v>
      </c>
      <c r="C1047" s="4" t="s">
        <v>2417</v>
      </c>
      <c r="D1047" s="4" t="s">
        <v>2418</v>
      </c>
      <c r="E1047" s="4">
        <v>18298444646</v>
      </c>
      <c r="F1047" s="4" t="s">
        <v>307</v>
      </c>
      <c r="G1047" s="43">
        <v>46071</v>
      </c>
      <c r="H1047" s="9" t="s">
        <v>856</v>
      </c>
      <c r="I1047" s="4" t="s">
        <v>459</v>
      </c>
      <c r="L1047" s="68" t="b">
        <v>0</v>
      </c>
      <c r="S1047" s="8"/>
    </row>
    <row r="1048" spans="1:25" ht="12.5">
      <c r="A1048" s="9" t="s">
        <v>5</v>
      </c>
      <c r="B1048" s="4" t="s">
        <v>398</v>
      </c>
      <c r="C1048" s="4" t="s">
        <v>2419</v>
      </c>
      <c r="D1048" s="4" t="s">
        <v>2420</v>
      </c>
      <c r="E1048" s="4">
        <v>34611834606</v>
      </c>
      <c r="F1048" s="4" t="s">
        <v>2323</v>
      </c>
      <c r="G1048" s="43">
        <v>46071</v>
      </c>
      <c r="H1048" s="9" t="s">
        <v>856</v>
      </c>
      <c r="I1048" s="4" t="s">
        <v>459</v>
      </c>
      <c r="L1048" s="68" t="b">
        <v>0</v>
      </c>
      <c r="M1048" s="68" t="b">
        <v>1</v>
      </c>
      <c r="N1048" s="67" t="b">
        <v>1</v>
      </c>
      <c r="S1048" s="8"/>
    </row>
    <row r="1049" spans="1:25" ht="12.5">
      <c r="A1049" s="9" t="s">
        <v>5</v>
      </c>
      <c r="B1049" s="4" t="s">
        <v>119</v>
      </c>
      <c r="C1049" s="4" t="s">
        <v>2421</v>
      </c>
      <c r="D1049" s="4" t="s">
        <v>2422</v>
      </c>
      <c r="E1049" s="4">
        <v>34622228120</v>
      </c>
      <c r="F1049" s="4" t="s">
        <v>319</v>
      </c>
      <c r="G1049" s="43">
        <v>46071</v>
      </c>
      <c r="H1049" s="9" t="s">
        <v>856</v>
      </c>
      <c r="I1049" s="4" t="s">
        <v>459</v>
      </c>
      <c r="L1049" s="68" t="b">
        <v>0</v>
      </c>
      <c r="S1049" s="8"/>
    </row>
    <row r="1050" spans="1:25" ht="12.5">
      <c r="A1050" s="9" t="s">
        <v>5</v>
      </c>
      <c r="B1050" s="4" t="s">
        <v>398</v>
      </c>
      <c r="C1050" s="4" t="s">
        <v>2423</v>
      </c>
      <c r="D1050" s="4" t="s">
        <v>384</v>
      </c>
      <c r="E1050" s="4">
        <v>34696532002</v>
      </c>
      <c r="F1050" s="4" t="s">
        <v>385</v>
      </c>
      <c r="G1050" s="43">
        <v>46071</v>
      </c>
      <c r="H1050" s="9" t="s">
        <v>856</v>
      </c>
      <c r="I1050" s="4" t="s">
        <v>459</v>
      </c>
      <c r="L1050" s="68" t="b">
        <v>0</v>
      </c>
      <c r="N1050" s="67" t="b">
        <v>1</v>
      </c>
      <c r="S1050" s="8"/>
    </row>
    <row r="1051" spans="1:25" ht="12.5">
      <c r="A1051" s="9" t="s">
        <v>5</v>
      </c>
      <c r="B1051" s="4" t="s">
        <v>119</v>
      </c>
      <c r="C1051" s="4" t="s">
        <v>2424</v>
      </c>
      <c r="D1051" s="4" t="s">
        <v>2425</v>
      </c>
      <c r="E1051" s="4">
        <v>525533994862</v>
      </c>
      <c r="F1051" s="4" t="s">
        <v>8</v>
      </c>
      <c r="G1051" s="43">
        <v>46071</v>
      </c>
      <c r="H1051" s="9" t="s">
        <v>856</v>
      </c>
      <c r="I1051" s="4" t="s">
        <v>459</v>
      </c>
      <c r="L1051" s="68" t="b">
        <v>0</v>
      </c>
      <c r="S1051" s="8"/>
    </row>
    <row r="1052" spans="1:25" ht="12.5">
      <c r="A1052" s="9" t="s">
        <v>5</v>
      </c>
      <c r="B1052" s="4" t="s">
        <v>398</v>
      </c>
      <c r="C1052" s="4" t="s">
        <v>2426</v>
      </c>
      <c r="D1052" s="4" t="s">
        <v>2427</v>
      </c>
      <c r="E1052" s="4">
        <v>4949174970081</v>
      </c>
      <c r="F1052" s="4" t="s">
        <v>52</v>
      </c>
      <c r="G1052" s="43">
        <v>46071</v>
      </c>
      <c r="H1052" s="9" t="s">
        <v>856</v>
      </c>
      <c r="I1052" s="4" t="s">
        <v>459</v>
      </c>
      <c r="L1052" s="68" t="b">
        <v>0</v>
      </c>
      <c r="O1052" s="68" t="b">
        <v>1</v>
      </c>
      <c r="S1052" s="8"/>
      <c r="Y1052" s="4" t="s">
        <v>2428</v>
      </c>
    </row>
    <row r="1053" spans="1:25" ht="12.5">
      <c r="A1053" s="9" t="s">
        <v>5</v>
      </c>
      <c r="B1053" s="4" t="s">
        <v>119</v>
      </c>
      <c r="C1053" s="4" t="s">
        <v>2429</v>
      </c>
      <c r="D1053" s="4" t="s">
        <v>2430</v>
      </c>
      <c r="E1053" s="4">
        <v>56934954317</v>
      </c>
      <c r="F1053" s="4" t="s">
        <v>82</v>
      </c>
      <c r="G1053" s="43">
        <v>46072</v>
      </c>
      <c r="H1053" s="9" t="s">
        <v>856</v>
      </c>
      <c r="I1053" s="4" t="s">
        <v>459</v>
      </c>
      <c r="L1053" s="68" t="b">
        <v>0</v>
      </c>
      <c r="S1053" s="8"/>
    </row>
    <row r="1054" spans="1:25" ht="12.5">
      <c r="A1054" s="9" t="s">
        <v>5</v>
      </c>
      <c r="B1054" s="4" t="s">
        <v>398</v>
      </c>
      <c r="C1054" s="4" t="s">
        <v>2431</v>
      </c>
      <c r="D1054" s="4" t="s">
        <v>2287</v>
      </c>
      <c r="E1054" s="4">
        <v>573145522689</v>
      </c>
      <c r="F1054" s="4" t="s">
        <v>256</v>
      </c>
      <c r="G1054" s="43">
        <v>46072</v>
      </c>
      <c r="H1054" s="9" t="s">
        <v>856</v>
      </c>
      <c r="I1054" s="4" t="s">
        <v>459</v>
      </c>
      <c r="L1054" s="68" t="b">
        <v>0</v>
      </c>
      <c r="S1054" s="8"/>
    </row>
    <row r="1055" spans="1:25" ht="12.5">
      <c r="A1055" s="9" t="s">
        <v>5</v>
      </c>
      <c r="B1055" s="4" t="s">
        <v>119</v>
      </c>
      <c r="C1055" s="4" t="s">
        <v>2432</v>
      </c>
      <c r="D1055" s="4" t="s">
        <v>2433</v>
      </c>
      <c r="E1055" s="4">
        <v>56983003092</v>
      </c>
      <c r="F1055" s="4" t="s">
        <v>8</v>
      </c>
      <c r="G1055" s="43">
        <v>46072</v>
      </c>
      <c r="H1055" s="9" t="s">
        <v>856</v>
      </c>
      <c r="I1055" s="4" t="s">
        <v>459</v>
      </c>
      <c r="L1055" s="68" t="b">
        <v>0</v>
      </c>
      <c r="S1055" s="8"/>
    </row>
    <row r="1056" spans="1:25" ht="12.5">
      <c r="A1056" s="9" t="s">
        <v>5</v>
      </c>
      <c r="B1056" s="4" t="s">
        <v>398</v>
      </c>
      <c r="C1056" s="4" t="s">
        <v>2434</v>
      </c>
      <c r="D1056" s="4" t="s">
        <v>2435</v>
      </c>
      <c r="E1056" s="4">
        <v>525554127793</v>
      </c>
      <c r="F1056" s="4" t="s">
        <v>8</v>
      </c>
      <c r="G1056" s="43">
        <v>46072</v>
      </c>
      <c r="H1056" s="9" t="s">
        <v>856</v>
      </c>
      <c r="I1056" s="4" t="s">
        <v>448</v>
      </c>
      <c r="K1056" s="67" t="b">
        <v>1</v>
      </c>
      <c r="L1056" s="68" t="b">
        <v>0</v>
      </c>
      <c r="N1056" s="67" t="b">
        <v>1</v>
      </c>
      <c r="S1056" s="4" t="s">
        <v>119</v>
      </c>
      <c r="T1056" s="33">
        <v>46077</v>
      </c>
      <c r="U1056" s="6">
        <v>105</v>
      </c>
      <c r="V1056" s="7">
        <v>0.3</v>
      </c>
      <c r="W1056" s="4">
        <v>2</v>
      </c>
      <c r="X1056" s="8">
        <v>46054</v>
      </c>
    </row>
    <row r="1057" spans="1:24" ht="12.5">
      <c r="A1057" s="9" t="s">
        <v>5</v>
      </c>
      <c r="B1057" s="4" t="s">
        <v>119</v>
      </c>
      <c r="C1057" s="4" t="s">
        <v>2436</v>
      </c>
      <c r="D1057" s="4" t="s">
        <v>2437</v>
      </c>
      <c r="E1057" s="4">
        <v>491778805534</v>
      </c>
      <c r="F1057" s="4" t="s">
        <v>702</v>
      </c>
      <c r="G1057" s="43">
        <v>46072</v>
      </c>
      <c r="H1057" s="9" t="s">
        <v>856</v>
      </c>
      <c r="I1057" s="4" t="s">
        <v>459</v>
      </c>
      <c r="K1057" s="67" t="b">
        <v>1</v>
      </c>
      <c r="L1057" s="68" t="b">
        <v>0</v>
      </c>
      <c r="N1057" s="67" t="b">
        <v>1</v>
      </c>
      <c r="S1057" s="8"/>
    </row>
    <row r="1058" spans="1:24" ht="12.5">
      <c r="A1058" s="9" t="s">
        <v>5</v>
      </c>
      <c r="B1058" s="4" t="s">
        <v>398</v>
      </c>
      <c r="C1058" s="4" t="s">
        <v>2438</v>
      </c>
      <c r="D1058" s="4" t="s">
        <v>2439</v>
      </c>
      <c r="E1058" s="4">
        <v>56984286250</v>
      </c>
      <c r="F1058" s="4" t="s">
        <v>307</v>
      </c>
      <c r="G1058" s="43">
        <v>46072</v>
      </c>
      <c r="H1058" s="9" t="s">
        <v>856</v>
      </c>
      <c r="I1058" s="4" t="s">
        <v>459</v>
      </c>
      <c r="K1058" s="67" t="b">
        <v>1</v>
      </c>
      <c r="L1058" s="68" t="b">
        <v>0</v>
      </c>
      <c r="N1058" s="67" t="b">
        <v>1</v>
      </c>
      <c r="P1058" s="68" t="b">
        <v>1</v>
      </c>
      <c r="Q1058" s="67" t="b">
        <v>1</v>
      </c>
      <c r="S1058" s="8"/>
    </row>
    <row r="1059" spans="1:24" ht="12.5">
      <c r="A1059" s="9" t="s">
        <v>5</v>
      </c>
      <c r="B1059" s="4" t="s">
        <v>119</v>
      </c>
      <c r="C1059" s="4" t="s">
        <v>2440</v>
      </c>
      <c r="D1059" s="4" t="s">
        <v>2441</v>
      </c>
      <c r="E1059" s="4">
        <v>525523378980</v>
      </c>
      <c r="F1059" s="4" t="s">
        <v>307</v>
      </c>
      <c r="G1059" s="43">
        <v>46072</v>
      </c>
      <c r="H1059" s="9" t="s">
        <v>856</v>
      </c>
      <c r="I1059" s="4" t="s">
        <v>459</v>
      </c>
      <c r="K1059" s="67" t="b">
        <v>1</v>
      </c>
      <c r="L1059" s="68" t="b">
        <v>0</v>
      </c>
      <c r="N1059" s="67" t="b">
        <v>1</v>
      </c>
      <c r="S1059" s="8"/>
    </row>
    <row r="1060" spans="1:24" ht="12.5">
      <c r="A1060" s="9" t="s">
        <v>5</v>
      </c>
      <c r="B1060" s="4" t="s">
        <v>398</v>
      </c>
      <c r="C1060" s="4" t="s">
        <v>2442</v>
      </c>
      <c r="D1060" s="4" t="s">
        <v>2443</v>
      </c>
      <c r="E1060" s="4">
        <v>34637511804</v>
      </c>
      <c r="F1060" s="4" t="s">
        <v>91</v>
      </c>
      <c r="G1060" s="43">
        <v>46072</v>
      </c>
      <c r="H1060" s="9" t="s">
        <v>856</v>
      </c>
      <c r="I1060" s="4" t="s">
        <v>459</v>
      </c>
      <c r="K1060" s="67" t="b">
        <v>1</v>
      </c>
      <c r="L1060" s="68" t="b">
        <v>0</v>
      </c>
      <c r="N1060" s="67" t="b">
        <v>1</v>
      </c>
      <c r="P1060" s="68" t="b">
        <v>1</v>
      </c>
      <c r="Q1060" s="67" t="b">
        <v>1</v>
      </c>
      <c r="S1060" s="8"/>
    </row>
    <row r="1061" spans="1:24" ht="12.5">
      <c r="A1061" s="9" t="s">
        <v>5</v>
      </c>
      <c r="B1061" s="4" t="s">
        <v>119</v>
      </c>
      <c r="C1061" s="4" t="s">
        <v>2444</v>
      </c>
      <c r="D1061" s="4" t="s">
        <v>2445</v>
      </c>
      <c r="E1061" s="4">
        <v>541124650202</v>
      </c>
      <c r="F1061" s="4" t="s">
        <v>233</v>
      </c>
      <c r="G1061" s="43">
        <v>46073</v>
      </c>
      <c r="H1061" s="9" t="s">
        <v>856</v>
      </c>
      <c r="I1061" s="4" t="s">
        <v>459</v>
      </c>
      <c r="K1061" s="67" t="b">
        <v>1</v>
      </c>
      <c r="L1061" s="68" t="b">
        <v>0</v>
      </c>
      <c r="N1061" s="67" t="b">
        <v>1</v>
      </c>
      <c r="S1061" s="8"/>
    </row>
    <row r="1062" spans="1:24" ht="12.5">
      <c r="A1062" s="9" t="s">
        <v>5</v>
      </c>
      <c r="B1062" s="4" t="s">
        <v>398</v>
      </c>
      <c r="C1062" s="4" t="s">
        <v>2446</v>
      </c>
      <c r="D1062" s="4" t="s">
        <v>2447</v>
      </c>
      <c r="E1062" s="4">
        <v>50686454936</v>
      </c>
      <c r="F1062" s="4" t="s">
        <v>1302</v>
      </c>
      <c r="G1062" s="43">
        <v>46073</v>
      </c>
      <c r="H1062" s="9" t="s">
        <v>856</v>
      </c>
      <c r="I1062" s="4" t="s">
        <v>459</v>
      </c>
      <c r="K1062" s="67" t="b">
        <v>1</v>
      </c>
      <c r="L1062" s="68" t="b">
        <v>0</v>
      </c>
      <c r="N1062" s="67" t="b">
        <v>1</v>
      </c>
      <c r="P1062" s="68" t="b">
        <v>1</v>
      </c>
      <c r="Q1062" s="67" t="b">
        <v>1</v>
      </c>
      <c r="S1062" s="8"/>
    </row>
    <row r="1063" spans="1:24" ht="12.5">
      <c r="A1063" s="9" t="s">
        <v>5</v>
      </c>
      <c r="B1063" s="4" t="s">
        <v>119</v>
      </c>
      <c r="C1063" s="4" t="s">
        <v>2448</v>
      </c>
      <c r="D1063" s="4" t="s">
        <v>2449</v>
      </c>
      <c r="E1063" s="4">
        <v>34698718025</v>
      </c>
      <c r="F1063" s="4" t="s">
        <v>307</v>
      </c>
      <c r="G1063" s="43">
        <v>46073</v>
      </c>
      <c r="H1063" s="9" t="s">
        <v>856</v>
      </c>
      <c r="I1063" s="4" t="s">
        <v>459</v>
      </c>
      <c r="K1063" s="67" t="b">
        <v>1</v>
      </c>
      <c r="L1063" s="68" t="b">
        <v>0</v>
      </c>
      <c r="N1063" s="67" t="b">
        <v>1</v>
      </c>
      <c r="S1063" s="8"/>
    </row>
    <row r="1064" spans="1:24" ht="12.5">
      <c r="A1064" s="9" t="s">
        <v>5</v>
      </c>
      <c r="B1064" s="4" t="s">
        <v>398</v>
      </c>
      <c r="C1064" s="4" t="s">
        <v>2450</v>
      </c>
      <c r="D1064" s="4" t="s">
        <v>376</v>
      </c>
      <c r="E1064" s="4">
        <v>34620365736</v>
      </c>
      <c r="F1064" s="4" t="s">
        <v>172</v>
      </c>
      <c r="G1064" s="43">
        <v>46073</v>
      </c>
      <c r="H1064" s="9" t="s">
        <v>856</v>
      </c>
      <c r="I1064" s="4" t="s">
        <v>459</v>
      </c>
      <c r="K1064" s="67" t="b">
        <v>1</v>
      </c>
      <c r="L1064" s="68" t="b">
        <v>0</v>
      </c>
      <c r="N1064" s="67" t="b">
        <v>1</v>
      </c>
      <c r="P1064" s="68" t="b">
        <v>1</v>
      </c>
      <c r="Q1064" s="67" t="b">
        <v>1</v>
      </c>
      <c r="S1064" s="8"/>
    </row>
    <row r="1065" spans="1:24" ht="12.5">
      <c r="A1065" s="9" t="s">
        <v>381</v>
      </c>
      <c r="B1065" s="4" t="s">
        <v>119</v>
      </c>
      <c r="C1065" s="4" t="s">
        <v>2451</v>
      </c>
      <c r="D1065" s="4" t="s">
        <v>2452</v>
      </c>
      <c r="E1065" s="4">
        <v>343128778314</v>
      </c>
      <c r="F1065" s="4" t="s">
        <v>2453</v>
      </c>
      <c r="G1065" s="43">
        <v>46074</v>
      </c>
      <c r="H1065" s="9" t="s">
        <v>856</v>
      </c>
      <c r="I1065" s="4" t="s">
        <v>459</v>
      </c>
      <c r="K1065" s="67" t="b">
        <v>1</v>
      </c>
      <c r="L1065" s="68" t="b">
        <v>0</v>
      </c>
      <c r="N1065" s="67" t="b">
        <v>1</v>
      </c>
      <c r="S1065" s="8"/>
    </row>
    <row r="1066" spans="1:24" ht="12.5">
      <c r="A1066" s="9" t="s">
        <v>381</v>
      </c>
      <c r="B1066" s="4" t="s">
        <v>398</v>
      </c>
      <c r="C1066" s="4" t="s">
        <v>2451</v>
      </c>
      <c r="D1066" s="4" t="s">
        <v>2452</v>
      </c>
      <c r="E1066" s="4">
        <v>34633566083</v>
      </c>
      <c r="F1066" s="4" t="s">
        <v>2454</v>
      </c>
      <c r="G1066" s="43">
        <v>46074</v>
      </c>
      <c r="H1066" s="9" t="s">
        <v>856</v>
      </c>
      <c r="I1066" s="4" t="s">
        <v>459</v>
      </c>
      <c r="K1066" s="67" t="b">
        <v>1</v>
      </c>
      <c r="L1066" s="68" t="b">
        <v>0</v>
      </c>
      <c r="N1066" s="67" t="b">
        <v>1</v>
      </c>
      <c r="S1066" s="8"/>
    </row>
    <row r="1067" spans="1:24" ht="12.5">
      <c r="A1067" s="9" t="s">
        <v>381</v>
      </c>
      <c r="B1067" s="4" t="s">
        <v>119</v>
      </c>
      <c r="C1067" s="4" t="s">
        <v>2451</v>
      </c>
      <c r="D1067" s="4" t="s">
        <v>2452</v>
      </c>
      <c r="E1067" s="4">
        <v>34633566083</v>
      </c>
      <c r="F1067" s="4" t="s">
        <v>2455</v>
      </c>
      <c r="G1067" s="43">
        <v>46074</v>
      </c>
      <c r="H1067" s="9" t="s">
        <v>856</v>
      </c>
      <c r="I1067" s="4" t="s">
        <v>459</v>
      </c>
      <c r="K1067" s="67" t="b">
        <v>1</v>
      </c>
      <c r="L1067" s="68" t="b">
        <v>0</v>
      </c>
      <c r="N1067" s="67" t="b">
        <v>1</v>
      </c>
      <c r="S1067" s="8"/>
    </row>
    <row r="1068" spans="1:24" ht="12.5">
      <c r="A1068" s="9" t="s">
        <v>5</v>
      </c>
      <c r="B1068" s="4" t="s">
        <v>398</v>
      </c>
      <c r="C1068" s="4" t="s">
        <v>2456</v>
      </c>
      <c r="D1068" s="4" t="s">
        <v>2457</v>
      </c>
      <c r="E1068" s="4">
        <v>34678936350</v>
      </c>
      <c r="F1068" s="4" t="s">
        <v>66</v>
      </c>
      <c r="G1068" s="43">
        <v>46075</v>
      </c>
      <c r="H1068" s="9" t="s">
        <v>856</v>
      </c>
      <c r="I1068" s="4" t="s">
        <v>459</v>
      </c>
      <c r="K1068" s="67" t="b">
        <v>1</v>
      </c>
      <c r="L1068" s="68" t="b">
        <v>0</v>
      </c>
      <c r="N1068" s="67" t="b">
        <v>1</v>
      </c>
      <c r="Q1068" s="67" t="b">
        <v>1</v>
      </c>
      <c r="S1068" s="8"/>
    </row>
    <row r="1069" spans="1:24" ht="12.5">
      <c r="A1069" s="9" t="s">
        <v>5</v>
      </c>
      <c r="B1069" s="4" t="s">
        <v>119</v>
      </c>
      <c r="C1069" s="4" t="s">
        <v>2458</v>
      </c>
      <c r="D1069" s="4" t="s">
        <v>2459</v>
      </c>
      <c r="E1069" s="4">
        <v>525532470542</v>
      </c>
      <c r="F1069" s="4" t="s">
        <v>2460</v>
      </c>
      <c r="G1069" s="43">
        <v>46075</v>
      </c>
      <c r="H1069" s="9" t="s">
        <v>856</v>
      </c>
      <c r="I1069" s="4" t="s">
        <v>459</v>
      </c>
      <c r="K1069" s="67" t="b">
        <v>1</v>
      </c>
      <c r="L1069" s="68" t="b">
        <v>0</v>
      </c>
      <c r="N1069" s="67" t="b">
        <v>1</v>
      </c>
      <c r="S1069" s="8"/>
    </row>
    <row r="1070" spans="1:24" ht="12.5">
      <c r="A1070" s="9" t="s">
        <v>5</v>
      </c>
      <c r="B1070" s="4" t="s">
        <v>398</v>
      </c>
      <c r="C1070" s="4" t="s">
        <v>2461</v>
      </c>
      <c r="D1070" s="4" t="s">
        <v>2462</v>
      </c>
      <c r="E1070" s="4">
        <v>573024666254</v>
      </c>
      <c r="F1070" s="4" t="s">
        <v>27</v>
      </c>
      <c r="G1070" s="43">
        <v>46076</v>
      </c>
      <c r="H1070" s="9" t="s">
        <v>856</v>
      </c>
      <c r="I1070" s="4" t="s">
        <v>448</v>
      </c>
      <c r="K1070" s="67" t="b">
        <v>1</v>
      </c>
      <c r="L1070" s="68" t="b">
        <v>0</v>
      </c>
      <c r="N1070" s="67" t="b">
        <v>1</v>
      </c>
      <c r="S1070" s="4" t="s">
        <v>119</v>
      </c>
      <c r="T1070" s="33">
        <v>46077</v>
      </c>
      <c r="U1070" s="6">
        <v>145</v>
      </c>
      <c r="V1070" s="7">
        <v>0.3</v>
      </c>
      <c r="W1070" s="4">
        <v>1</v>
      </c>
      <c r="X1070" s="8">
        <v>46023</v>
      </c>
    </row>
    <row r="1071" spans="1:24" ht="12.5">
      <c r="A1071" s="9" t="s">
        <v>5</v>
      </c>
      <c r="B1071" s="4" t="s">
        <v>119</v>
      </c>
      <c r="C1071" s="4" t="s">
        <v>2463</v>
      </c>
      <c r="D1071" s="4" t="s">
        <v>2464</v>
      </c>
      <c r="E1071" s="4">
        <v>652270632</v>
      </c>
      <c r="F1071" s="4" t="s">
        <v>228</v>
      </c>
      <c r="G1071" s="43">
        <v>46076</v>
      </c>
      <c r="H1071" s="9" t="s">
        <v>856</v>
      </c>
      <c r="I1071" s="4" t="s">
        <v>459</v>
      </c>
      <c r="L1071" s="68" t="b">
        <v>1</v>
      </c>
      <c r="S1071" s="8"/>
    </row>
    <row r="1072" spans="1:24" ht="12.5">
      <c r="A1072" s="9" t="s">
        <v>5</v>
      </c>
      <c r="B1072" s="4" t="s">
        <v>398</v>
      </c>
      <c r="C1072" s="4" t="s">
        <v>2465</v>
      </c>
      <c r="D1072" s="4" t="s">
        <v>2466</v>
      </c>
      <c r="E1072" s="4">
        <v>51991894190</v>
      </c>
      <c r="F1072" s="4" t="s">
        <v>66</v>
      </c>
      <c r="G1072" s="43">
        <v>46076</v>
      </c>
      <c r="H1072" s="9" t="s">
        <v>856</v>
      </c>
      <c r="I1072" s="4" t="s">
        <v>459</v>
      </c>
      <c r="K1072" s="67" t="b">
        <v>1</v>
      </c>
      <c r="L1072" s="68" t="b">
        <v>0</v>
      </c>
      <c r="N1072" s="67" t="b">
        <v>1</v>
      </c>
      <c r="Q1072" s="67" t="b">
        <v>1</v>
      </c>
      <c r="S1072" s="8"/>
    </row>
    <row r="1073" spans="1:19" ht="12.5">
      <c r="A1073" s="9" t="s">
        <v>5</v>
      </c>
      <c r="B1073" s="4" t="s">
        <v>119</v>
      </c>
      <c r="C1073" s="4" t="s">
        <v>2467</v>
      </c>
      <c r="D1073" s="4" t="s">
        <v>2468</v>
      </c>
      <c r="E1073" s="4">
        <v>34647054647</v>
      </c>
      <c r="F1073" s="4" t="s">
        <v>97</v>
      </c>
      <c r="G1073" s="43">
        <v>46076</v>
      </c>
      <c r="H1073" s="9" t="s">
        <v>856</v>
      </c>
      <c r="I1073" s="4" t="s">
        <v>459</v>
      </c>
      <c r="K1073" s="67" t="b">
        <v>1</v>
      </c>
      <c r="L1073" s="68" t="b">
        <v>0</v>
      </c>
      <c r="N1073" s="67" t="b">
        <v>1</v>
      </c>
      <c r="S1073" s="8"/>
    </row>
    <row r="1074" spans="1:19" ht="12.5">
      <c r="A1074" s="9" t="s">
        <v>5</v>
      </c>
      <c r="B1074" s="4" t="s">
        <v>398</v>
      </c>
      <c r="C1074" s="4" t="s">
        <v>2469</v>
      </c>
      <c r="D1074" s="4" t="s">
        <v>2470</v>
      </c>
      <c r="E1074" s="4">
        <v>522299533136</v>
      </c>
      <c r="F1074" s="4" t="s">
        <v>319</v>
      </c>
      <c r="G1074" s="43">
        <v>46076</v>
      </c>
      <c r="H1074" s="9" t="s">
        <v>856</v>
      </c>
      <c r="I1074" s="4" t="s">
        <v>459</v>
      </c>
      <c r="K1074" s="67" t="b">
        <v>1</v>
      </c>
      <c r="L1074" s="68" t="b">
        <v>0</v>
      </c>
      <c r="N1074" s="67" t="b">
        <v>1</v>
      </c>
      <c r="Q1074" s="67" t="b">
        <v>1</v>
      </c>
      <c r="S1074" s="8"/>
    </row>
    <row r="1075" spans="1:19" ht="12.5">
      <c r="A1075" s="9" t="s">
        <v>5</v>
      </c>
      <c r="B1075" s="4" t="s">
        <v>119</v>
      </c>
      <c r="C1075" s="4" t="s">
        <v>2471</v>
      </c>
      <c r="D1075" s="4" t="s">
        <v>2472</v>
      </c>
      <c r="E1075" s="4">
        <v>573004745822</v>
      </c>
      <c r="F1075" s="4" t="s">
        <v>319</v>
      </c>
      <c r="G1075" s="43">
        <v>46077</v>
      </c>
      <c r="H1075" s="9" t="s">
        <v>856</v>
      </c>
      <c r="I1075" s="4" t="s">
        <v>459</v>
      </c>
      <c r="K1075" s="67" t="b">
        <v>1</v>
      </c>
      <c r="L1075" s="68" t="b">
        <v>0</v>
      </c>
      <c r="N1075" s="67" t="b">
        <v>1</v>
      </c>
      <c r="S1075" s="8"/>
    </row>
    <row r="1076" spans="1:19" ht="12.5">
      <c r="A1076" s="9" t="s">
        <v>5</v>
      </c>
      <c r="B1076" s="4" t="s">
        <v>398</v>
      </c>
      <c r="C1076" s="4" t="s">
        <v>2473</v>
      </c>
      <c r="D1076" s="4" t="s">
        <v>2474</v>
      </c>
      <c r="E1076" s="4">
        <v>56994474629</v>
      </c>
      <c r="F1076" s="4" t="s">
        <v>324</v>
      </c>
      <c r="G1076" s="43">
        <v>46077</v>
      </c>
      <c r="H1076" s="9" t="s">
        <v>856</v>
      </c>
      <c r="I1076" s="4" t="s">
        <v>459</v>
      </c>
      <c r="K1076" s="67" t="b">
        <v>1</v>
      </c>
      <c r="L1076" s="68" t="b">
        <v>0</v>
      </c>
      <c r="N1076" s="67" t="b">
        <v>1</v>
      </c>
      <c r="Q1076" s="67" t="b">
        <v>1</v>
      </c>
      <c r="S1076" s="8"/>
    </row>
    <row r="1077" spans="1:19" ht="12.5">
      <c r="A1077" s="9" t="s">
        <v>5</v>
      </c>
      <c r="B1077" s="4" t="s">
        <v>119</v>
      </c>
      <c r="C1077" s="4" t="s">
        <v>2475</v>
      </c>
      <c r="D1077" s="4" t="s">
        <v>2476</v>
      </c>
      <c r="E1077" s="4">
        <v>34651304460</v>
      </c>
      <c r="F1077" s="4" t="s">
        <v>43</v>
      </c>
      <c r="G1077" s="43">
        <v>46077</v>
      </c>
      <c r="H1077" s="9" t="s">
        <v>856</v>
      </c>
      <c r="I1077" s="4" t="s">
        <v>459</v>
      </c>
      <c r="K1077" s="67" t="b">
        <v>1</v>
      </c>
      <c r="L1077" s="68" t="b">
        <v>0</v>
      </c>
      <c r="N1077" s="67" t="b">
        <v>1</v>
      </c>
      <c r="S1077" s="8"/>
    </row>
    <row r="1078" spans="1:19" ht="12.5">
      <c r="A1078" s="9" t="s">
        <v>5</v>
      </c>
      <c r="B1078" s="4" t="s">
        <v>398</v>
      </c>
      <c r="C1078" s="4" t="s">
        <v>2477</v>
      </c>
      <c r="D1078" s="4" t="s">
        <v>2478</v>
      </c>
      <c r="E1078" s="4">
        <v>34609271215</v>
      </c>
      <c r="F1078" s="4" t="s">
        <v>52</v>
      </c>
      <c r="G1078" s="43">
        <v>46077</v>
      </c>
      <c r="H1078" s="9" t="s">
        <v>856</v>
      </c>
      <c r="I1078" s="4" t="s">
        <v>886</v>
      </c>
      <c r="K1078" s="67" t="b">
        <v>1</v>
      </c>
      <c r="L1078" s="68" t="b">
        <v>0</v>
      </c>
      <c r="N1078" s="67" t="b">
        <v>1</v>
      </c>
      <c r="Q1078" s="67" t="b">
        <v>1</v>
      </c>
      <c r="S1078" s="8"/>
    </row>
    <row r="1079" spans="1:19" ht="12.5">
      <c r="A1079" s="9" t="s">
        <v>5</v>
      </c>
      <c r="B1079" s="4" t="s">
        <v>119</v>
      </c>
      <c r="C1079" s="4" t="s">
        <v>2479</v>
      </c>
      <c r="D1079" s="4" t="s">
        <v>2480</v>
      </c>
      <c r="E1079" s="4">
        <v>34608067941</v>
      </c>
      <c r="F1079" s="4" t="s">
        <v>387</v>
      </c>
      <c r="G1079" s="43">
        <v>46077</v>
      </c>
      <c r="H1079" s="9" t="s">
        <v>856</v>
      </c>
      <c r="I1079" s="4" t="s">
        <v>459</v>
      </c>
      <c r="K1079" s="67" t="b">
        <v>1</v>
      </c>
      <c r="L1079" s="68" t="b">
        <v>0</v>
      </c>
      <c r="N1079" s="67" t="b">
        <v>1</v>
      </c>
      <c r="S1079" s="8"/>
    </row>
    <row r="1080" spans="1:19" ht="12.5">
      <c r="A1080" s="9" t="s">
        <v>5</v>
      </c>
      <c r="B1080" s="4" t="s">
        <v>398</v>
      </c>
      <c r="C1080" s="4" t="s">
        <v>2481</v>
      </c>
      <c r="D1080" s="4" t="s">
        <v>2482</v>
      </c>
      <c r="E1080" s="4">
        <v>34952787650</v>
      </c>
      <c r="F1080" s="4" t="s">
        <v>284</v>
      </c>
      <c r="G1080" s="43">
        <v>46077</v>
      </c>
      <c r="H1080" s="9" t="s">
        <v>856</v>
      </c>
      <c r="I1080" s="4" t="s">
        <v>459</v>
      </c>
      <c r="K1080" s="67" t="b">
        <v>1</v>
      </c>
      <c r="L1080" s="68" t="b">
        <v>0</v>
      </c>
      <c r="N1080" s="67" t="b">
        <v>1</v>
      </c>
      <c r="Q1080" s="67" t="b">
        <v>1</v>
      </c>
      <c r="R1080" s="68" t="b">
        <v>1</v>
      </c>
      <c r="S1080" s="8"/>
    </row>
    <row r="1081" spans="1:19" ht="12.5">
      <c r="A1081" s="9" t="s">
        <v>5</v>
      </c>
      <c r="B1081" s="4" t="s">
        <v>119</v>
      </c>
      <c r="C1081" s="4" t="s">
        <v>2483</v>
      </c>
      <c r="D1081" s="4" t="s">
        <v>2484</v>
      </c>
      <c r="E1081" s="4">
        <v>573022214239</v>
      </c>
      <c r="F1081" s="4" t="s">
        <v>702</v>
      </c>
      <c r="G1081" s="43">
        <v>46077</v>
      </c>
      <c r="H1081" s="9" t="s">
        <v>856</v>
      </c>
      <c r="I1081" s="4" t="s">
        <v>459</v>
      </c>
      <c r="K1081" s="67" t="b">
        <v>1</v>
      </c>
      <c r="L1081" s="68" t="b">
        <v>0</v>
      </c>
      <c r="N1081" s="67" t="b">
        <v>1</v>
      </c>
      <c r="S1081" s="8"/>
    </row>
    <row r="1082" spans="1:19" ht="12.5">
      <c r="A1082" s="9" t="s">
        <v>5</v>
      </c>
      <c r="B1082" s="4" t="s">
        <v>398</v>
      </c>
      <c r="C1082" s="4" t="s">
        <v>2485</v>
      </c>
      <c r="D1082" s="4" t="s">
        <v>2486</v>
      </c>
      <c r="E1082" s="4">
        <v>376370888</v>
      </c>
      <c r="F1082" s="4" t="s">
        <v>702</v>
      </c>
      <c r="G1082" s="43">
        <v>46077</v>
      </c>
      <c r="H1082" s="9" t="s">
        <v>856</v>
      </c>
      <c r="I1082" s="4" t="s">
        <v>459</v>
      </c>
      <c r="K1082" s="67" t="b">
        <v>1</v>
      </c>
      <c r="L1082" s="68" t="b">
        <v>0</v>
      </c>
      <c r="N1082" s="67" t="b">
        <v>1</v>
      </c>
      <c r="Q1082" s="67" t="b">
        <v>1</v>
      </c>
      <c r="S1082" s="8"/>
    </row>
    <row r="1083" spans="1:19" ht="12.5">
      <c r="A1083" s="9" t="s">
        <v>5</v>
      </c>
      <c r="B1083" s="4" t="s">
        <v>119</v>
      </c>
      <c r="C1083" s="4" t="s">
        <v>2487</v>
      </c>
      <c r="D1083" s="4" t="s">
        <v>2488</v>
      </c>
      <c r="E1083" s="4">
        <v>34628224562</v>
      </c>
      <c r="F1083" s="4" t="s">
        <v>70</v>
      </c>
      <c r="G1083" s="43">
        <v>46077</v>
      </c>
      <c r="H1083" s="9" t="s">
        <v>856</v>
      </c>
      <c r="I1083" s="4" t="s">
        <v>459</v>
      </c>
      <c r="K1083" s="67" t="b">
        <v>1</v>
      </c>
      <c r="L1083" s="68" t="b">
        <v>0</v>
      </c>
      <c r="N1083" s="67" t="b">
        <v>1</v>
      </c>
      <c r="S1083" s="8"/>
    </row>
    <row r="1084" spans="1:19" ht="12.5">
      <c r="A1084" s="9" t="s">
        <v>5</v>
      </c>
      <c r="B1084" s="4" t="s">
        <v>398</v>
      </c>
      <c r="C1084" s="4" t="s">
        <v>2489</v>
      </c>
      <c r="D1084" s="4" t="s">
        <v>2490</v>
      </c>
      <c r="E1084" s="4">
        <v>34614284714</v>
      </c>
      <c r="F1084" s="4" t="s">
        <v>11</v>
      </c>
      <c r="G1084" s="43">
        <v>46077</v>
      </c>
      <c r="H1084" s="9" t="s">
        <v>856</v>
      </c>
      <c r="I1084" s="4" t="s">
        <v>459</v>
      </c>
      <c r="K1084" s="67" t="b">
        <v>1</v>
      </c>
      <c r="L1084" s="68" t="b">
        <v>0</v>
      </c>
      <c r="N1084" s="67" t="b">
        <v>1</v>
      </c>
      <c r="Q1084" s="67" t="b">
        <v>1</v>
      </c>
      <c r="S1084" s="8"/>
    </row>
    <row r="1085" spans="1:19" ht="12.5">
      <c r="A1085" s="9" t="s">
        <v>5</v>
      </c>
      <c r="B1085" s="4" t="s">
        <v>119</v>
      </c>
      <c r="C1085" s="4" t="s">
        <v>2491</v>
      </c>
      <c r="D1085" s="4" t="s">
        <v>2492</v>
      </c>
      <c r="E1085" s="4">
        <v>34666370547</v>
      </c>
      <c r="F1085" s="4" t="s">
        <v>401</v>
      </c>
      <c r="G1085" s="43">
        <v>46077</v>
      </c>
      <c r="H1085" s="9" t="s">
        <v>856</v>
      </c>
      <c r="I1085" s="4" t="s">
        <v>459</v>
      </c>
      <c r="K1085" s="67" t="b">
        <v>1</v>
      </c>
      <c r="L1085" s="68" t="b">
        <v>0</v>
      </c>
      <c r="N1085" s="67" t="b">
        <v>1</v>
      </c>
      <c r="S1085" s="8"/>
    </row>
    <row r="1086" spans="1:19" ht="12.5">
      <c r="A1086" s="9" t="s">
        <v>5</v>
      </c>
      <c r="B1086" s="4" t="s">
        <v>398</v>
      </c>
      <c r="C1086" s="4" t="s">
        <v>2493</v>
      </c>
      <c r="D1086" s="4" t="s">
        <v>2494</v>
      </c>
      <c r="E1086" s="4">
        <v>34647735290</v>
      </c>
      <c r="F1086" s="4" t="s">
        <v>191</v>
      </c>
      <c r="G1086" s="43">
        <v>46077</v>
      </c>
      <c r="H1086" s="9" t="s">
        <v>856</v>
      </c>
      <c r="I1086" s="4" t="s">
        <v>459</v>
      </c>
      <c r="K1086" s="67" t="b">
        <v>1</v>
      </c>
      <c r="L1086" s="68" t="b">
        <v>0</v>
      </c>
      <c r="N1086" s="67" t="b">
        <v>1</v>
      </c>
      <c r="Q1086" s="67" t="b">
        <v>1</v>
      </c>
      <c r="S1086" s="8"/>
    </row>
    <row r="1087" spans="1:19" ht="12.5">
      <c r="A1087" s="9" t="s">
        <v>5</v>
      </c>
      <c r="B1087" s="4" t="s">
        <v>119</v>
      </c>
      <c r="C1087" s="4" t="s">
        <v>2495</v>
      </c>
      <c r="D1087" s="4" t="s">
        <v>2496</v>
      </c>
      <c r="E1087" s="4">
        <v>543585610302</v>
      </c>
      <c r="F1087" s="4" t="s">
        <v>129</v>
      </c>
      <c r="G1087" s="43">
        <v>46078</v>
      </c>
      <c r="H1087" s="9" t="s">
        <v>856</v>
      </c>
      <c r="I1087" s="4" t="s">
        <v>459</v>
      </c>
      <c r="K1087" s="67" t="b">
        <v>1</v>
      </c>
      <c r="L1087" s="68" t="b">
        <v>0</v>
      </c>
      <c r="N1087" s="67" t="b">
        <v>1</v>
      </c>
      <c r="S1087" s="8"/>
    </row>
    <row r="1088" spans="1:19" ht="12.5">
      <c r="A1088" s="9" t="s">
        <v>5</v>
      </c>
      <c r="B1088" s="4" t="s">
        <v>398</v>
      </c>
      <c r="C1088" s="4" t="s">
        <v>2497</v>
      </c>
      <c r="D1088" s="4" t="s">
        <v>2498</v>
      </c>
      <c r="E1088" s="4">
        <v>34643983228</v>
      </c>
      <c r="F1088" s="4" t="s">
        <v>102</v>
      </c>
      <c r="G1088" s="43">
        <v>46078</v>
      </c>
      <c r="H1088" s="9" t="s">
        <v>856</v>
      </c>
      <c r="I1088" s="4" t="s">
        <v>459</v>
      </c>
      <c r="K1088" s="67" t="b">
        <v>1</v>
      </c>
      <c r="L1088" s="68" t="b">
        <v>0</v>
      </c>
      <c r="N1088" s="67" t="b">
        <v>1</v>
      </c>
      <c r="Q1088" s="67" t="b">
        <v>1</v>
      </c>
      <c r="S1088" s="8"/>
    </row>
    <row r="1089" spans="1:25" ht="12.5">
      <c r="A1089" s="9" t="s">
        <v>5</v>
      </c>
      <c r="B1089" s="4" t="s">
        <v>119</v>
      </c>
      <c r="C1089" s="4" t="s">
        <v>1729</v>
      </c>
      <c r="D1089" s="4" t="s">
        <v>1730</v>
      </c>
      <c r="E1089" s="4">
        <v>34666200000</v>
      </c>
      <c r="F1089" s="4" t="s">
        <v>121</v>
      </c>
      <c r="G1089" s="43">
        <v>46078</v>
      </c>
      <c r="H1089" s="9" t="s">
        <v>856</v>
      </c>
      <c r="I1089" s="4" t="s">
        <v>459</v>
      </c>
      <c r="K1089" s="67" t="b">
        <v>1</v>
      </c>
      <c r="L1089" s="68" t="b">
        <v>0</v>
      </c>
      <c r="N1089" s="67" t="b">
        <v>1</v>
      </c>
      <c r="S1089" s="8"/>
    </row>
    <row r="1090" spans="1:25" ht="12.5">
      <c r="A1090" s="9" t="s">
        <v>5</v>
      </c>
      <c r="B1090" s="4" t="s">
        <v>398</v>
      </c>
      <c r="C1090" s="4" t="s">
        <v>2499</v>
      </c>
      <c r="D1090" s="4" t="s">
        <v>2500</v>
      </c>
      <c r="E1090" s="4">
        <v>972533039996</v>
      </c>
      <c r="F1090" s="4" t="s">
        <v>2008</v>
      </c>
      <c r="G1090" s="43">
        <v>46078</v>
      </c>
      <c r="H1090" s="9" t="s">
        <v>856</v>
      </c>
      <c r="I1090" s="4" t="s">
        <v>459</v>
      </c>
      <c r="J1090" s="68" t="b">
        <v>1</v>
      </c>
      <c r="K1090" s="67" t="b">
        <v>1</v>
      </c>
      <c r="L1090" s="68" t="b">
        <v>0</v>
      </c>
      <c r="N1090" s="67" t="b">
        <v>1</v>
      </c>
      <c r="R1090" s="68" t="b">
        <v>1</v>
      </c>
      <c r="S1090" s="8"/>
      <c r="Y1090" s="4" t="s">
        <v>2501</v>
      </c>
    </row>
    <row r="1091" spans="1:25" ht="12.5">
      <c r="A1091" s="9" t="s">
        <v>5</v>
      </c>
      <c r="B1091" s="4" t="s">
        <v>119</v>
      </c>
      <c r="C1091" s="4" t="s">
        <v>2502</v>
      </c>
      <c r="D1091" s="4" t="s">
        <v>339</v>
      </c>
      <c r="E1091" s="4">
        <v>34653728864</v>
      </c>
      <c r="F1091" s="4" t="s">
        <v>56</v>
      </c>
      <c r="G1091" s="43">
        <v>46078</v>
      </c>
      <c r="H1091" s="9" t="s">
        <v>856</v>
      </c>
      <c r="I1091" s="4" t="s">
        <v>448</v>
      </c>
      <c r="K1091" s="67" t="b">
        <v>1</v>
      </c>
      <c r="L1091" s="68" t="b">
        <v>0</v>
      </c>
      <c r="N1091" s="67" t="b">
        <v>1</v>
      </c>
      <c r="S1091" s="4" t="s">
        <v>119</v>
      </c>
      <c r="T1091" s="33">
        <v>46087</v>
      </c>
      <c r="U1091" s="6">
        <v>95</v>
      </c>
      <c r="V1091" s="4">
        <v>0</v>
      </c>
      <c r="W1091" s="4">
        <v>1</v>
      </c>
      <c r="X1091" s="8">
        <v>46023</v>
      </c>
    </row>
    <row r="1092" spans="1:25" ht="12.5">
      <c r="A1092" s="9" t="s">
        <v>5</v>
      </c>
      <c r="B1092" s="4" t="s">
        <v>398</v>
      </c>
      <c r="C1092" s="4" t="s">
        <v>2503</v>
      </c>
      <c r="D1092" s="4" t="s">
        <v>2504</v>
      </c>
      <c r="E1092" s="4">
        <v>573137494638</v>
      </c>
      <c r="F1092" s="4" t="s">
        <v>8</v>
      </c>
      <c r="G1092" s="43">
        <v>46078</v>
      </c>
      <c r="H1092" s="9" t="s">
        <v>856</v>
      </c>
      <c r="I1092" s="4" t="s">
        <v>459</v>
      </c>
      <c r="K1092" s="67" t="b">
        <v>1</v>
      </c>
      <c r="L1092" s="68" t="b">
        <v>0</v>
      </c>
      <c r="N1092" s="67" t="b">
        <v>1</v>
      </c>
      <c r="Q1092" s="67" t="b">
        <v>1</v>
      </c>
      <c r="S1092" s="8"/>
    </row>
    <row r="1093" spans="1:25" ht="12.5">
      <c r="A1093" s="9" t="s">
        <v>5</v>
      </c>
      <c r="B1093" s="4" t="s">
        <v>119</v>
      </c>
      <c r="C1093" s="4" t="s">
        <v>2505</v>
      </c>
      <c r="D1093" s="4" t="s">
        <v>2506</v>
      </c>
      <c r="E1093" s="4">
        <v>34616747460</v>
      </c>
      <c r="F1093" s="4" t="s">
        <v>102</v>
      </c>
      <c r="G1093" s="43">
        <v>46078</v>
      </c>
      <c r="H1093" s="9" t="s">
        <v>856</v>
      </c>
      <c r="I1093" s="4" t="s">
        <v>459</v>
      </c>
      <c r="K1093" s="67" t="b">
        <v>1</v>
      </c>
      <c r="L1093" s="68" t="b">
        <v>0</v>
      </c>
      <c r="N1093" s="67" t="b">
        <v>1</v>
      </c>
      <c r="S1093" s="8"/>
    </row>
    <row r="1094" spans="1:25" ht="12.5">
      <c r="A1094" s="9" t="s">
        <v>5</v>
      </c>
      <c r="B1094" s="4" t="s">
        <v>398</v>
      </c>
      <c r="C1094" s="4" t="s">
        <v>2507</v>
      </c>
      <c r="D1094" s="4" t="s">
        <v>2508</v>
      </c>
      <c r="E1094" s="4">
        <v>393804952512</v>
      </c>
      <c r="F1094" s="4" t="s">
        <v>1811</v>
      </c>
      <c r="G1094" s="43">
        <v>46078</v>
      </c>
      <c r="H1094" s="9" t="s">
        <v>856</v>
      </c>
      <c r="I1094" s="4" t="s">
        <v>1097</v>
      </c>
      <c r="K1094" s="67" t="b">
        <v>1</v>
      </c>
      <c r="L1094" s="68" t="b">
        <v>0</v>
      </c>
      <c r="N1094" s="67" t="b">
        <v>1</v>
      </c>
      <c r="Q1094" s="67" t="b">
        <v>1</v>
      </c>
      <c r="S1094" s="8"/>
    </row>
    <row r="1095" spans="1:25" ht="12.5">
      <c r="A1095" s="9" t="s">
        <v>5</v>
      </c>
      <c r="B1095" s="4" t="s">
        <v>119</v>
      </c>
      <c r="C1095" s="4" t="s">
        <v>2509</v>
      </c>
      <c r="D1095" s="4" t="s">
        <v>2510</v>
      </c>
      <c r="E1095" s="4">
        <v>573003219371</v>
      </c>
      <c r="F1095" s="4" t="s">
        <v>319</v>
      </c>
      <c r="G1095" s="43">
        <v>46078</v>
      </c>
      <c r="H1095" s="9" t="s">
        <v>856</v>
      </c>
      <c r="I1095" s="4" t="s">
        <v>459</v>
      </c>
      <c r="K1095" s="67" t="b">
        <v>1</v>
      </c>
      <c r="L1095" s="68" t="b">
        <v>0</v>
      </c>
      <c r="N1095" s="67" t="b">
        <v>1</v>
      </c>
      <c r="S1095" s="8"/>
    </row>
    <row r="1096" spans="1:25" ht="12.5">
      <c r="A1096" s="9" t="s">
        <v>5</v>
      </c>
      <c r="B1096" s="4" t="s">
        <v>398</v>
      </c>
      <c r="C1096" s="4" t="s">
        <v>330</v>
      </c>
      <c r="D1096" s="4" t="s">
        <v>331</v>
      </c>
      <c r="E1096" s="4">
        <v>34622708429</v>
      </c>
      <c r="F1096" s="4" t="s">
        <v>332</v>
      </c>
      <c r="G1096" s="43">
        <v>46078</v>
      </c>
      <c r="H1096" s="9" t="s">
        <v>856</v>
      </c>
      <c r="I1096" s="4" t="s">
        <v>459</v>
      </c>
      <c r="J1096" s="68" t="b">
        <v>1</v>
      </c>
      <c r="K1096" s="67" t="b">
        <v>1</v>
      </c>
      <c r="L1096" s="68" t="b">
        <v>0</v>
      </c>
      <c r="N1096" s="67" t="b">
        <v>1</v>
      </c>
      <c r="Q1096" s="67" t="b">
        <v>1</v>
      </c>
      <c r="S1096" s="8"/>
    </row>
    <row r="1097" spans="1:25" ht="12.5">
      <c r="A1097" s="9" t="s">
        <v>5</v>
      </c>
      <c r="B1097" s="4" t="s">
        <v>119</v>
      </c>
      <c r="C1097" s="4" t="s">
        <v>2511</v>
      </c>
      <c r="D1097" s="4" t="s">
        <v>2512</v>
      </c>
      <c r="E1097" s="4">
        <v>51941636569</v>
      </c>
      <c r="F1097" s="4" t="s">
        <v>1480</v>
      </c>
      <c r="G1097" s="43">
        <v>46078</v>
      </c>
      <c r="H1097" s="9" t="s">
        <v>856</v>
      </c>
      <c r="I1097" s="4" t="s">
        <v>459</v>
      </c>
      <c r="K1097" s="67" t="b">
        <v>1</v>
      </c>
      <c r="L1097" s="68" t="b">
        <v>0</v>
      </c>
      <c r="N1097" s="67" t="b">
        <v>1</v>
      </c>
      <c r="S1097" s="8"/>
    </row>
    <row r="1098" spans="1:25" ht="12.5">
      <c r="A1098" s="9" t="s">
        <v>5</v>
      </c>
      <c r="B1098" s="4" t="s">
        <v>398</v>
      </c>
      <c r="C1098" s="4" t="s">
        <v>2513</v>
      </c>
      <c r="D1098" s="4" t="s">
        <v>2514</v>
      </c>
      <c r="E1098" s="4">
        <v>593995321330</v>
      </c>
      <c r="F1098" s="4" t="s">
        <v>1965</v>
      </c>
      <c r="G1098" s="43">
        <v>46078</v>
      </c>
      <c r="H1098" s="9" t="s">
        <v>856</v>
      </c>
      <c r="I1098" s="4" t="s">
        <v>459</v>
      </c>
      <c r="K1098" s="67" t="b">
        <v>1</v>
      </c>
      <c r="L1098" s="68" t="b">
        <v>0</v>
      </c>
      <c r="N1098" s="67" t="b">
        <v>1</v>
      </c>
      <c r="Q1098" s="67" t="b">
        <v>1</v>
      </c>
      <c r="S1098" s="8"/>
    </row>
    <row r="1099" spans="1:25" ht="12.5">
      <c r="A1099" s="9" t="s">
        <v>5</v>
      </c>
      <c r="B1099" s="4" t="s">
        <v>119</v>
      </c>
      <c r="C1099" s="4" t="s">
        <v>2515</v>
      </c>
      <c r="D1099" s="4" t="s">
        <v>2516</v>
      </c>
      <c r="E1099" s="4">
        <v>34722277658</v>
      </c>
      <c r="F1099" s="4" t="s">
        <v>332</v>
      </c>
      <c r="G1099" s="43">
        <v>46079</v>
      </c>
      <c r="H1099" s="9" t="s">
        <v>856</v>
      </c>
      <c r="I1099" s="4" t="s">
        <v>459</v>
      </c>
      <c r="K1099" s="67" t="b">
        <v>1</v>
      </c>
      <c r="L1099" s="68" t="b">
        <v>0</v>
      </c>
      <c r="N1099" s="67" t="b">
        <v>1</v>
      </c>
      <c r="S1099" s="8"/>
    </row>
    <row r="1100" spans="1:25" ht="12.5">
      <c r="A1100" s="9" t="s">
        <v>5</v>
      </c>
      <c r="B1100" s="4" t="s">
        <v>398</v>
      </c>
      <c r="C1100" s="4" t="s">
        <v>2517</v>
      </c>
      <c r="D1100" s="4" t="s">
        <v>2518</v>
      </c>
      <c r="E1100" s="4">
        <v>59899674381</v>
      </c>
      <c r="F1100" s="4" t="s">
        <v>27</v>
      </c>
      <c r="G1100" s="43">
        <v>46079</v>
      </c>
      <c r="H1100" s="9" t="s">
        <v>856</v>
      </c>
      <c r="I1100" s="4" t="s">
        <v>459</v>
      </c>
      <c r="K1100" s="67" t="b">
        <v>1</v>
      </c>
      <c r="L1100" s="68" t="b">
        <v>0</v>
      </c>
      <c r="N1100" s="67" t="b">
        <v>1</v>
      </c>
      <c r="Q1100" s="67" t="b">
        <v>1</v>
      </c>
      <c r="S1100" s="8"/>
    </row>
    <row r="1101" spans="1:25" ht="12.5">
      <c r="A1101" s="9" t="s">
        <v>5</v>
      </c>
      <c r="B1101" s="4" t="s">
        <v>119</v>
      </c>
      <c r="C1101" s="4" t="s">
        <v>2519</v>
      </c>
      <c r="D1101" s="4" t="s">
        <v>2520</v>
      </c>
      <c r="E1101" s="4">
        <v>18299411004</v>
      </c>
      <c r="F1101" s="4" t="s">
        <v>702</v>
      </c>
      <c r="G1101" s="43">
        <v>46079</v>
      </c>
      <c r="H1101" s="9" t="s">
        <v>856</v>
      </c>
      <c r="I1101" s="4" t="s">
        <v>459</v>
      </c>
      <c r="K1101" s="67" t="b">
        <v>1</v>
      </c>
      <c r="L1101" s="68" t="b">
        <v>0</v>
      </c>
      <c r="N1101" s="67" t="b">
        <v>1</v>
      </c>
      <c r="S1101" s="8"/>
    </row>
    <row r="1102" spans="1:25" ht="12.5">
      <c r="A1102" s="9" t="s">
        <v>5</v>
      </c>
      <c r="B1102" s="4" t="s">
        <v>398</v>
      </c>
      <c r="C1102" s="4" t="s">
        <v>2521</v>
      </c>
      <c r="D1102" s="4" t="s">
        <v>2522</v>
      </c>
      <c r="E1102" s="4">
        <v>34630265924</v>
      </c>
      <c r="F1102" s="4" t="s">
        <v>70</v>
      </c>
      <c r="G1102" s="43">
        <v>46079</v>
      </c>
      <c r="H1102" s="9" t="s">
        <v>856</v>
      </c>
      <c r="I1102" s="4" t="s">
        <v>448</v>
      </c>
      <c r="K1102" s="67" t="b">
        <v>1</v>
      </c>
      <c r="L1102" s="68" t="b">
        <v>0</v>
      </c>
      <c r="N1102" s="67" t="b">
        <v>1</v>
      </c>
      <c r="S1102" s="4" t="s">
        <v>119</v>
      </c>
      <c r="T1102" s="33">
        <v>46080</v>
      </c>
      <c r="U1102" s="6">
        <v>175</v>
      </c>
      <c r="V1102" s="7">
        <v>0.3</v>
      </c>
      <c r="W1102" s="4">
        <v>1</v>
      </c>
      <c r="X1102" s="8">
        <v>46023</v>
      </c>
    </row>
    <row r="1103" spans="1:25" ht="12.5">
      <c r="A1103" s="9" t="s">
        <v>5</v>
      </c>
      <c r="B1103" s="4" t="s">
        <v>119</v>
      </c>
      <c r="C1103" s="4" t="s">
        <v>2523</v>
      </c>
      <c r="D1103" s="4" t="s">
        <v>2524</v>
      </c>
      <c r="E1103" s="4">
        <v>34657984359</v>
      </c>
      <c r="F1103" s="4" t="s">
        <v>1817</v>
      </c>
      <c r="G1103" s="43">
        <v>46079</v>
      </c>
      <c r="H1103" s="9" t="s">
        <v>856</v>
      </c>
      <c r="I1103" s="4" t="s">
        <v>459</v>
      </c>
      <c r="K1103" s="67" t="b">
        <v>1</v>
      </c>
      <c r="L1103" s="68" t="b">
        <v>0</v>
      </c>
      <c r="S1103" s="8"/>
    </row>
    <row r="1104" spans="1:25" ht="12.5">
      <c r="A1104" s="9" t="s">
        <v>5</v>
      </c>
      <c r="B1104" s="4" t="s">
        <v>398</v>
      </c>
      <c r="C1104" s="4" t="s">
        <v>1808</v>
      </c>
      <c r="D1104" s="4" t="s">
        <v>337</v>
      </c>
      <c r="E1104" s="4">
        <v>5401134540806</v>
      </c>
      <c r="F1104" s="4" t="s">
        <v>338</v>
      </c>
      <c r="G1104" s="43">
        <v>46080</v>
      </c>
      <c r="H1104" s="9" t="s">
        <v>856</v>
      </c>
      <c r="I1104" s="4" t="s">
        <v>448</v>
      </c>
      <c r="K1104" s="67" t="b">
        <v>1</v>
      </c>
      <c r="L1104" s="68" t="b">
        <v>0</v>
      </c>
      <c r="N1104" s="67" t="b">
        <v>1</v>
      </c>
      <c r="S1104" s="4" t="s">
        <v>119</v>
      </c>
      <c r="T1104" s="33">
        <v>46086</v>
      </c>
      <c r="U1104" s="6">
        <v>203</v>
      </c>
      <c r="V1104" s="7">
        <v>0.3</v>
      </c>
      <c r="W1104" s="4">
        <v>1</v>
      </c>
      <c r="X1104" s="8">
        <v>46023</v>
      </c>
    </row>
    <row r="1105" spans="1:25" ht="12.5">
      <c r="A1105" s="9" t="s">
        <v>5</v>
      </c>
      <c r="B1105" s="4" t="s">
        <v>119</v>
      </c>
      <c r="C1105" s="4" t="s">
        <v>320</v>
      </c>
      <c r="D1105" s="4" t="s">
        <v>2525</v>
      </c>
      <c r="E1105" s="4">
        <v>34605969427</v>
      </c>
      <c r="F1105" s="4" t="s">
        <v>307</v>
      </c>
      <c r="G1105" s="43">
        <v>46080</v>
      </c>
      <c r="H1105" s="9" t="s">
        <v>856</v>
      </c>
      <c r="I1105" s="4" t="s">
        <v>886</v>
      </c>
      <c r="K1105" s="67" t="b">
        <v>1</v>
      </c>
      <c r="L1105" s="68" t="b">
        <v>0</v>
      </c>
      <c r="N1105" s="67" t="b">
        <v>1</v>
      </c>
      <c r="Q1105" s="67" t="b">
        <v>1</v>
      </c>
      <c r="S1105" s="8"/>
    </row>
    <row r="1106" spans="1:25" ht="12.5">
      <c r="A1106" s="9" t="s">
        <v>5</v>
      </c>
      <c r="B1106" s="4" t="s">
        <v>398</v>
      </c>
      <c r="C1106" s="4" t="s">
        <v>2526</v>
      </c>
      <c r="D1106" s="4" t="s">
        <v>2527</v>
      </c>
      <c r="E1106" s="4">
        <v>3465712499</v>
      </c>
      <c r="F1106" s="4" t="s">
        <v>52</v>
      </c>
      <c r="G1106" s="43">
        <v>46080</v>
      </c>
      <c r="H1106" s="9" t="s">
        <v>856</v>
      </c>
      <c r="I1106" s="4" t="s">
        <v>459</v>
      </c>
      <c r="K1106" s="67" t="b">
        <v>1</v>
      </c>
      <c r="L1106" s="68" t="b">
        <v>0</v>
      </c>
      <c r="N1106" s="67" t="b">
        <v>1</v>
      </c>
      <c r="S1106" s="8"/>
    </row>
    <row r="1107" spans="1:25" ht="12.5">
      <c r="A1107" s="9" t="s">
        <v>5</v>
      </c>
      <c r="B1107" s="4" t="s">
        <v>119</v>
      </c>
      <c r="C1107" s="4" t="s">
        <v>2528</v>
      </c>
      <c r="D1107" s="4" t="s">
        <v>2529</v>
      </c>
      <c r="E1107" s="4">
        <v>18298297190013</v>
      </c>
      <c r="F1107" s="4" t="s">
        <v>343</v>
      </c>
      <c r="G1107" s="43">
        <v>46080</v>
      </c>
      <c r="H1107" s="9" t="s">
        <v>856</v>
      </c>
      <c r="I1107" s="4" t="s">
        <v>459</v>
      </c>
      <c r="K1107" s="67"/>
      <c r="L1107" s="68" t="b">
        <v>1</v>
      </c>
      <c r="N1107" s="67"/>
      <c r="O1107" s="68" t="b">
        <v>1</v>
      </c>
      <c r="S1107" s="8"/>
    </row>
    <row r="1108" spans="1:25" ht="12.5">
      <c r="A1108" s="9" t="s">
        <v>5</v>
      </c>
      <c r="B1108" s="4" t="s">
        <v>398</v>
      </c>
      <c r="C1108" s="4" t="s">
        <v>2530</v>
      </c>
      <c r="D1108" s="4" t="s">
        <v>2531</v>
      </c>
      <c r="E1108" s="4">
        <v>34613326305</v>
      </c>
      <c r="F1108" s="4" t="s">
        <v>1071</v>
      </c>
      <c r="G1108" s="43">
        <v>46080</v>
      </c>
      <c r="H1108" s="9" t="s">
        <v>856</v>
      </c>
      <c r="I1108" s="4" t="s">
        <v>459</v>
      </c>
      <c r="K1108" s="67" t="b">
        <v>1</v>
      </c>
      <c r="L1108" s="68" t="b">
        <v>0</v>
      </c>
      <c r="N1108" s="67" t="b">
        <v>1</v>
      </c>
      <c r="Q1108" s="67" t="b">
        <v>1</v>
      </c>
      <c r="S1108" s="8"/>
    </row>
    <row r="1109" spans="1:25" ht="12.5">
      <c r="A1109" s="9" t="s">
        <v>5</v>
      </c>
      <c r="B1109" s="4" t="s">
        <v>119</v>
      </c>
      <c r="C1109" s="4" t="s">
        <v>2532</v>
      </c>
      <c r="D1109" s="4" t="s">
        <v>2533</v>
      </c>
      <c r="E1109" s="4">
        <v>56978834257</v>
      </c>
      <c r="F1109" s="4" t="s">
        <v>1965</v>
      </c>
      <c r="G1109" s="43">
        <v>46081</v>
      </c>
      <c r="H1109" s="9" t="s">
        <v>856</v>
      </c>
      <c r="I1109" s="4" t="s">
        <v>459</v>
      </c>
      <c r="K1109" s="67" t="b">
        <v>1</v>
      </c>
      <c r="L1109" s="68" t="b">
        <v>0</v>
      </c>
      <c r="N1109" s="67" t="b">
        <v>1</v>
      </c>
      <c r="S1109" s="8"/>
    </row>
    <row r="1110" spans="1:25" ht="12.5">
      <c r="A1110" s="9" t="s">
        <v>5</v>
      </c>
      <c r="B1110" s="4" t="s">
        <v>398</v>
      </c>
      <c r="C1110" s="4" t="s">
        <v>2534</v>
      </c>
      <c r="D1110" s="4" t="s">
        <v>2535</v>
      </c>
      <c r="E1110" s="4">
        <v>598095564670</v>
      </c>
      <c r="F1110" s="4" t="s">
        <v>1255</v>
      </c>
      <c r="G1110" s="43">
        <v>46081</v>
      </c>
      <c r="H1110" s="9" t="s">
        <v>856</v>
      </c>
      <c r="I1110" s="4" t="s">
        <v>459</v>
      </c>
      <c r="K1110" s="67" t="b">
        <v>1</v>
      </c>
      <c r="L1110" s="68" t="b">
        <v>0</v>
      </c>
      <c r="N1110" s="67" t="b">
        <v>1</v>
      </c>
      <c r="R1110" s="68" t="b">
        <v>1</v>
      </c>
      <c r="S1110" s="8"/>
      <c r="Y1110" s="4" t="s">
        <v>2536</v>
      </c>
    </row>
    <row r="1111" spans="1:25" ht="12.5">
      <c r="A1111" s="9" t="s">
        <v>5</v>
      </c>
      <c r="B1111" s="4" t="s">
        <v>119</v>
      </c>
      <c r="C1111" s="4" t="s">
        <v>2537</v>
      </c>
      <c r="D1111" s="4" t="s">
        <v>2538</v>
      </c>
      <c r="E1111" s="4">
        <v>56995279808</v>
      </c>
      <c r="F1111" s="4" t="s">
        <v>2539</v>
      </c>
      <c r="G1111" s="43">
        <v>46081</v>
      </c>
      <c r="H1111" s="9" t="s">
        <v>856</v>
      </c>
      <c r="I1111" s="4" t="s">
        <v>459</v>
      </c>
      <c r="K1111" s="67" t="b">
        <v>1</v>
      </c>
      <c r="L1111" s="68" t="b">
        <v>0</v>
      </c>
      <c r="N1111" s="67" t="b">
        <v>1</v>
      </c>
      <c r="S1111" s="8"/>
    </row>
    <row r="1112" spans="1:25" ht="12.5">
      <c r="A1112" s="9" t="s">
        <v>5</v>
      </c>
      <c r="B1112" s="4" t="s">
        <v>398</v>
      </c>
      <c r="C1112" s="4" t="s">
        <v>2540</v>
      </c>
      <c r="D1112" s="4" t="s">
        <v>2541</v>
      </c>
      <c r="E1112" s="4">
        <v>34679984103</v>
      </c>
      <c r="F1112" s="4" t="s">
        <v>338</v>
      </c>
      <c r="G1112" s="43">
        <v>46082</v>
      </c>
      <c r="H1112" s="9" t="s">
        <v>856</v>
      </c>
      <c r="I1112" s="4" t="s">
        <v>459</v>
      </c>
      <c r="J1112" s="68" t="b">
        <v>1</v>
      </c>
      <c r="K1112" s="67" t="b">
        <v>1</v>
      </c>
      <c r="L1112" s="68" t="b">
        <v>0</v>
      </c>
      <c r="N1112" s="67" t="b">
        <v>1</v>
      </c>
      <c r="Q1112" s="67" t="b">
        <v>1</v>
      </c>
      <c r="S1112" s="8"/>
    </row>
    <row r="1113" spans="1:25" ht="12.5">
      <c r="A1113" s="9" t="s">
        <v>5</v>
      </c>
      <c r="B1113" s="4" t="s">
        <v>119</v>
      </c>
      <c r="C1113" s="4" t="s">
        <v>2542</v>
      </c>
      <c r="D1113" s="4" t="s">
        <v>2543</v>
      </c>
      <c r="E1113" s="4">
        <v>34647227809</v>
      </c>
      <c r="F1113" s="4" t="s">
        <v>2544</v>
      </c>
      <c r="G1113" s="43">
        <v>46082</v>
      </c>
      <c r="H1113" s="9" t="s">
        <v>856</v>
      </c>
      <c r="I1113" s="4" t="s">
        <v>886</v>
      </c>
      <c r="J1113" s="68" t="b">
        <v>1</v>
      </c>
      <c r="K1113" s="67" t="b">
        <v>1</v>
      </c>
      <c r="L1113" s="68" t="b">
        <v>0</v>
      </c>
      <c r="N1113" s="67" t="b">
        <v>1</v>
      </c>
      <c r="S1113" s="8"/>
    </row>
    <row r="1114" spans="1:25" ht="12.5">
      <c r="A1114" s="9" t="s">
        <v>5</v>
      </c>
      <c r="B1114" s="4" t="s">
        <v>398</v>
      </c>
      <c r="C1114" s="4" t="s">
        <v>2545</v>
      </c>
      <c r="D1114" s="4" t="s">
        <v>2546</v>
      </c>
      <c r="E1114" s="4">
        <v>18296641370</v>
      </c>
      <c r="F1114" s="4" t="s">
        <v>1255</v>
      </c>
      <c r="G1114" s="43">
        <v>46083</v>
      </c>
      <c r="H1114" s="9" t="s">
        <v>856</v>
      </c>
      <c r="I1114" s="4" t="s">
        <v>459</v>
      </c>
      <c r="J1114" s="68" t="b">
        <v>1</v>
      </c>
      <c r="K1114" s="67" t="b">
        <v>1</v>
      </c>
      <c r="L1114" s="68" t="b">
        <v>0</v>
      </c>
      <c r="N1114" s="67" t="b">
        <v>1</v>
      </c>
      <c r="Q1114" s="67" t="b">
        <v>1</v>
      </c>
      <c r="S1114" s="8"/>
    </row>
    <row r="1115" spans="1:25" ht="12.5">
      <c r="A1115" s="9" t="s">
        <v>5</v>
      </c>
      <c r="B1115" s="4" t="s">
        <v>119</v>
      </c>
      <c r="C1115" s="4" t="s">
        <v>2547</v>
      </c>
      <c r="D1115" s="4" t="s">
        <v>402</v>
      </c>
      <c r="E1115" s="4">
        <v>525627185124</v>
      </c>
      <c r="F1115" s="4" t="s">
        <v>403</v>
      </c>
      <c r="G1115" s="43">
        <v>46083</v>
      </c>
      <c r="H1115" s="9" t="s">
        <v>856</v>
      </c>
      <c r="I1115" s="4" t="s">
        <v>459</v>
      </c>
      <c r="K1115" s="67" t="b">
        <v>1</v>
      </c>
      <c r="L1115" s="68" t="b">
        <v>0</v>
      </c>
      <c r="N1115" s="67" t="b">
        <v>1</v>
      </c>
      <c r="Q1115" s="67" t="b">
        <v>1</v>
      </c>
      <c r="S1115" s="8"/>
    </row>
    <row r="1116" spans="1:25" ht="12.5">
      <c r="A1116" s="9" t="s">
        <v>5</v>
      </c>
      <c r="B1116" s="4" t="s">
        <v>398</v>
      </c>
      <c r="C1116" s="4" t="s">
        <v>2548</v>
      </c>
      <c r="D1116" s="4" t="s">
        <v>2549</v>
      </c>
      <c r="E1116" s="4">
        <v>34679356050</v>
      </c>
      <c r="F1116" s="4" t="s">
        <v>211</v>
      </c>
      <c r="G1116" s="43">
        <v>46083</v>
      </c>
      <c r="H1116" s="9" t="s">
        <v>856</v>
      </c>
      <c r="I1116" s="4" t="s">
        <v>459</v>
      </c>
      <c r="K1116" s="67" t="b">
        <v>1</v>
      </c>
      <c r="L1116" s="68" t="b">
        <v>0</v>
      </c>
      <c r="N1116" s="67" t="b">
        <v>1</v>
      </c>
      <c r="Q1116" s="67" t="b">
        <v>1</v>
      </c>
      <c r="S1116" s="8"/>
    </row>
    <row r="1117" spans="1:25" ht="12.5">
      <c r="A1117" s="9" t="s">
        <v>5</v>
      </c>
      <c r="B1117" s="4" t="s">
        <v>119</v>
      </c>
      <c r="C1117" s="4" t="s">
        <v>2550</v>
      </c>
      <c r="D1117" s="4" t="s">
        <v>334</v>
      </c>
      <c r="E1117" s="4">
        <v>56979842419</v>
      </c>
      <c r="F1117" s="4" t="s">
        <v>335</v>
      </c>
      <c r="G1117" s="43">
        <v>46084</v>
      </c>
      <c r="H1117" s="9" t="s">
        <v>856</v>
      </c>
      <c r="I1117" s="4" t="s">
        <v>459</v>
      </c>
      <c r="K1117" s="67" t="b">
        <v>1</v>
      </c>
      <c r="L1117" s="68" t="b">
        <v>0</v>
      </c>
      <c r="N1117" s="67" t="b">
        <v>1</v>
      </c>
      <c r="Q1117" s="67" t="b">
        <v>1</v>
      </c>
      <c r="S1117" s="8"/>
    </row>
    <row r="1118" spans="1:25" ht="12.5">
      <c r="A1118" s="9" t="s">
        <v>5</v>
      </c>
      <c r="B1118" s="4" t="s">
        <v>398</v>
      </c>
      <c r="C1118" s="4" t="s">
        <v>2551</v>
      </c>
      <c r="D1118" s="4" t="s">
        <v>2552</v>
      </c>
      <c r="E1118" s="4">
        <v>34609653095</v>
      </c>
      <c r="F1118" s="4" t="s">
        <v>1965</v>
      </c>
      <c r="G1118" s="43">
        <v>46084</v>
      </c>
      <c r="H1118" s="9" t="s">
        <v>856</v>
      </c>
      <c r="I1118" s="4" t="s">
        <v>459</v>
      </c>
      <c r="K1118" s="67" t="b">
        <v>1</v>
      </c>
      <c r="L1118" s="68" t="b">
        <v>0</v>
      </c>
      <c r="N1118" s="67" t="b">
        <v>1</v>
      </c>
      <c r="Q1118" s="67" t="b">
        <v>1</v>
      </c>
      <c r="S1118" s="8"/>
    </row>
    <row r="1119" spans="1:25" ht="12.5">
      <c r="A1119" s="9" t="s">
        <v>5</v>
      </c>
      <c r="B1119" s="4" t="s">
        <v>119</v>
      </c>
      <c r="C1119" s="4" t="s">
        <v>2553</v>
      </c>
      <c r="D1119" s="4" t="s">
        <v>2554</v>
      </c>
      <c r="E1119" s="4">
        <v>34686528582</v>
      </c>
      <c r="F1119" s="4" t="s">
        <v>129</v>
      </c>
      <c r="G1119" s="43">
        <v>46084</v>
      </c>
      <c r="H1119" s="9" t="s">
        <v>856</v>
      </c>
      <c r="I1119" s="4" t="s">
        <v>459</v>
      </c>
      <c r="K1119" s="67" t="b">
        <v>1</v>
      </c>
      <c r="L1119" s="68" t="b">
        <v>0</v>
      </c>
      <c r="N1119" s="67" t="b">
        <v>1</v>
      </c>
      <c r="Q1119" s="67" t="b">
        <v>1</v>
      </c>
      <c r="S1119" s="8"/>
    </row>
    <row r="1120" spans="1:25" ht="12.5">
      <c r="A1120" s="9" t="s">
        <v>5</v>
      </c>
      <c r="B1120" s="4" t="s">
        <v>398</v>
      </c>
      <c r="C1120" s="4" t="s">
        <v>2555</v>
      </c>
      <c r="D1120" s="4" t="s">
        <v>2556</v>
      </c>
      <c r="E1120" s="4">
        <v>34616658998</v>
      </c>
      <c r="F1120" s="4" t="s">
        <v>1134</v>
      </c>
      <c r="G1120" s="43">
        <v>46084</v>
      </c>
      <c r="H1120" s="9" t="s">
        <v>856</v>
      </c>
      <c r="I1120" s="4" t="s">
        <v>459</v>
      </c>
      <c r="K1120" s="67" t="b">
        <v>1</v>
      </c>
      <c r="L1120" s="68" t="b">
        <v>0</v>
      </c>
      <c r="N1120" s="67" t="b">
        <v>1</v>
      </c>
      <c r="Q1120" s="67" t="b">
        <v>1</v>
      </c>
      <c r="S1120" s="8"/>
    </row>
    <row r="1121" spans="1:24" ht="12.5">
      <c r="A1121" s="9" t="s">
        <v>5</v>
      </c>
      <c r="B1121" s="4" t="s">
        <v>119</v>
      </c>
      <c r="C1121" s="4" t="s">
        <v>2557</v>
      </c>
      <c r="D1121" s="4" t="s">
        <v>2558</v>
      </c>
      <c r="E1121" s="4">
        <v>50433903350</v>
      </c>
      <c r="F1121" s="4" t="s">
        <v>1676</v>
      </c>
      <c r="G1121" s="43">
        <v>46084</v>
      </c>
      <c r="H1121" s="9" t="s">
        <v>856</v>
      </c>
      <c r="I1121" s="4" t="s">
        <v>459</v>
      </c>
      <c r="K1121" s="67" t="b">
        <v>1</v>
      </c>
      <c r="L1121" s="68" t="b">
        <v>0</v>
      </c>
      <c r="N1121" s="67" t="b">
        <v>1</v>
      </c>
      <c r="S1121" s="8"/>
    </row>
    <row r="1122" spans="1:24" ht="12.5">
      <c r="A1122" s="9" t="s">
        <v>381</v>
      </c>
      <c r="B1122" s="4" t="s">
        <v>398</v>
      </c>
      <c r="C1122" s="4" t="s">
        <v>2559</v>
      </c>
      <c r="D1122" s="4" t="s">
        <v>2560</v>
      </c>
      <c r="E1122" s="4">
        <v>34634236317</v>
      </c>
      <c r="F1122" s="4" t="s">
        <v>2561</v>
      </c>
      <c r="G1122" s="43">
        <v>46085</v>
      </c>
      <c r="H1122" s="9" t="s">
        <v>856</v>
      </c>
      <c r="I1122" s="4" t="s">
        <v>459</v>
      </c>
      <c r="J1122" s="68" t="b">
        <v>1</v>
      </c>
      <c r="K1122" s="67" t="b">
        <v>1</v>
      </c>
      <c r="L1122" s="68" t="b">
        <v>0</v>
      </c>
      <c r="N1122" s="67" t="b">
        <v>1</v>
      </c>
      <c r="Q1122" s="67" t="b">
        <v>1</v>
      </c>
      <c r="S1122" s="8"/>
    </row>
    <row r="1123" spans="1:24" ht="12.5">
      <c r="A1123" s="9" t="s">
        <v>5</v>
      </c>
      <c r="B1123" s="4" t="s">
        <v>119</v>
      </c>
      <c r="C1123" s="4" t="s">
        <v>2562</v>
      </c>
      <c r="D1123" s="4" t="s">
        <v>2563</v>
      </c>
      <c r="E1123" s="4">
        <v>56976476813</v>
      </c>
      <c r="F1123" s="4" t="s">
        <v>319</v>
      </c>
      <c r="G1123" s="43">
        <v>46085</v>
      </c>
      <c r="H1123" s="9" t="s">
        <v>856</v>
      </c>
      <c r="I1123" s="4" t="s">
        <v>459</v>
      </c>
      <c r="K1123" s="67" t="b">
        <v>1</v>
      </c>
      <c r="L1123" s="68" t="b">
        <v>0</v>
      </c>
      <c r="N1123" s="67" t="b">
        <v>1</v>
      </c>
      <c r="Q1123" s="67" t="b">
        <v>1</v>
      </c>
      <c r="S1123" s="8"/>
    </row>
    <row r="1124" spans="1:24" ht="12.5">
      <c r="A1124" s="9" t="s">
        <v>5</v>
      </c>
      <c r="B1124" s="4" t="s">
        <v>398</v>
      </c>
      <c r="C1124" s="4" t="s">
        <v>2564</v>
      </c>
      <c r="D1124" s="4" t="s">
        <v>2565</v>
      </c>
      <c r="E1124" s="4">
        <v>526692279202</v>
      </c>
      <c r="F1124" s="4" t="s">
        <v>984</v>
      </c>
      <c r="G1124" s="43">
        <v>46085</v>
      </c>
      <c r="H1124" s="9" t="s">
        <v>856</v>
      </c>
      <c r="I1124" s="4" t="s">
        <v>459</v>
      </c>
      <c r="K1124" s="67" t="b">
        <v>1</v>
      </c>
      <c r="L1124" s="68" t="b">
        <v>0</v>
      </c>
      <c r="N1124" s="67" t="b">
        <v>1</v>
      </c>
      <c r="Q1124" s="67" t="b">
        <v>1</v>
      </c>
      <c r="S1124" s="8"/>
    </row>
    <row r="1125" spans="1:24" ht="12.5">
      <c r="A1125" s="9" t="s">
        <v>5</v>
      </c>
      <c r="B1125" s="4" t="s">
        <v>119</v>
      </c>
      <c r="C1125" s="4" t="s">
        <v>2566</v>
      </c>
      <c r="D1125" s="4" t="s">
        <v>2567</v>
      </c>
      <c r="E1125" s="4">
        <v>34628910000</v>
      </c>
      <c r="F1125" s="4" t="s">
        <v>500</v>
      </c>
      <c r="G1125" s="43">
        <v>46085</v>
      </c>
      <c r="H1125" s="9" t="s">
        <v>856</v>
      </c>
      <c r="I1125" s="4" t="s">
        <v>459</v>
      </c>
      <c r="K1125" s="67" t="b">
        <v>1</v>
      </c>
      <c r="L1125" s="68" t="b">
        <v>0</v>
      </c>
      <c r="N1125" s="67" t="b">
        <v>1</v>
      </c>
      <c r="Q1125" s="67" t="b">
        <v>1</v>
      </c>
      <c r="S1125" s="8"/>
    </row>
    <row r="1126" spans="1:24" ht="12.5">
      <c r="A1126" s="9" t="s">
        <v>5</v>
      </c>
      <c r="B1126" s="4" t="s">
        <v>398</v>
      </c>
      <c r="C1126" s="4" t="s">
        <v>2568</v>
      </c>
      <c r="D1126" s="4" t="s">
        <v>340</v>
      </c>
      <c r="E1126" s="4">
        <v>34660646458</v>
      </c>
      <c r="F1126" s="4" t="s">
        <v>70</v>
      </c>
      <c r="G1126" s="43">
        <v>46085</v>
      </c>
      <c r="H1126" s="9" t="s">
        <v>856</v>
      </c>
      <c r="I1126" s="4" t="s">
        <v>448</v>
      </c>
      <c r="J1126" s="68" t="b">
        <v>1</v>
      </c>
      <c r="K1126" s="67" t="b">
        <v>1</v>
      </c>
      <c r="L1126" s="68" t="b">
        <v>0</v>
      </c>
      <c r="N1126" s="67" t="b">
        <v>1</v>
      </c>
      <c r="S1126" s="4" t="s">
        <v>119</v>
      </c>
      <c r="T1126" s="33">
        <v>46087</v>
      </c>
      <c r="U1126" s="6">
        <v>175</v>
      </c>
      <c r="V1126" s="7">
        <v>0.3</v>
      </c>
      <c r="W1126" s="4">
        <v>1</v>
      </c>
      <c r="X1126" s="8">
        <v>46023</v>
      </c>
    </row>
    <row r="1127" spans="1:24" ht="12.5">
      <c r="A1127" s="9" t="s">
        <v>5</v>
      </c>
      <c r="B1127" s="4" t="s">
        <v>119</v>
      </c>
      <c r="C1127" s="4" t="s">
        <v>2569</v>
      </c>
      <c r="D1127" s="4" t="s">
        <v>2570</v>
      </c>
      <c r="E1127" s="4">
        <v>34722504798</v>
      </c>
      <c r="F1127" s="4" t="s">
        <v>43</v>
      </c>
      <c r="G1127" s="43">
        <v>46085</v>
      </c>
      <c r="H1127" s="9" t="s">
        <v>856</v>
      </c>
      <c r="I1127" s="4" t="s">
        <v>459</v>
      </c>
      <c r="K1127" s="67" t="b">
        <v>1</v>
      </c>
      <c r="L1127" s="68" t="b">
        <v>0</v>
      </c>
      <c r="N1127" s="67" t="b">
        <v>1</v>
      </c>
      <c r="Q1127" s="67" t="b">
        <v>1</v>
      </c>
      <c r="S1127" s="8"/>
    </row>
    <row r="1128" spans="1:24" ht="12.5">
      <c r="A1128" s="9" t="s">
        <v>381</v>
      </c>
      <c r="B1128" s="4" t="s">
        <v>398</v>
      </c>
      <c r="C1128" s="4" t="s">
        <v>2571</v>
      </c>
      <c r="D1128" s="4" t="s">
        <v>2572</v>
      </c>
      <c r="E1128" s="4">
        <v>59598276453</v>
      </c>
      <c r="F1128" s="4" t="s">
        <v>2573</v>
      </c>
      <c r="G1128" s="43">
        <v>46085</v>
      </c>
      <c r="H1128" s="9" t="s">
        <v>856</v>
      </c>
      <c r="I1128" s="4" t="s">
        <v>459</v>
      </c>
      <c r="K1128" s="67" t="b">
        <v>1</v>
      </c>
      <c r="L1128" s="68" t="b">
        <v>0</v>
      </c>
      <c r="N1128" s="67" t="b">
        <v>1</v>
      </c>
      <c r="R1128" s="68" t="b">
        <v>1</v>
      </c>
      <c r="S1128" s="8"/>
    </row>
    <row r="1129" spans="1:24" ht="12.5">
      <c r="A1129" s="9" t="s">
        <v>5</v>
      </c>
      <c r="B1129" s="4" t="s">
        <v>119</v>
      </c>
      <c r="C1129" s="4" t="s">
        <v>2574</v>
      </c>
      <c r="D1129" s="4" t="s">
        <v>2575</v>
      </c>
      <c r="E1129" s="4">
        <v>55442272323</v>
      </c>
      <c r="F1129" s="4" t="s">
        <v>944</v>
      </c>
      <c r="G1129" s="43">
        <v>46085</v>
      </c>
      <c r="H1129" s="9" t="s">
        <v>856</v>
      </c>
      <c r="I1129" s="4" t="s">
        <v>459</v>
      </c>
      <c r="K1129" s="67" t="b">
        <v>0</v>
      </c>
      <c r="L1129" s="68" t="b">
        <v>1</v>
      </c>
      <c r="N1129" s="67" t="b">
        <v>0</v>
      </c>
      <c r="S1129" s="8"/>
    </row>
    <row r="1130" spans="1:24" ht="12.5">
      <c r="A1130" s="9" t="s">
        <v>5</v>
      </c>
      <c r="B1130" s="4" t="s">
        <v>398</v>
      </c>
      <c r="C1130" s="4" t="s">
        <v>2576</v>
      </c>
      <c r="D1130" s="4" t="s">
        <v>2577</v>
      </c>
      <c r="E1130" s="4">
        <v>34676567994</v>
      </c>
      <c r="F1130" s="4" t="s">
        <v>140</v>
      </c>
      <c r="G1130" s="43">
        <v>46085</v>
      </c>
      <c r="H1130" s="9" t="s">
        <v>856</v>
      </c>
      <c r="I1130" s="4" t="s">
        <v>459</v>
      </c>
      <c r="K1130" s="67" t="b">
        <v>1</v>
      </c>
      <c r="L1130" s="68" t="b">
        <v>0</v>
      </c>
      <c r="N1130" s="67" t="b">
        <v>1</v>
      </c>
      <c r="Q1130" s="67" t="b">
        <v>1</v>
      </c>
      <c r="S1130" s="8"/>
    </row>
    <row r="1131" spans="1:24" ht="12.5">
      <c r="A1131" s="9" t="s">
        <v>5</v>
      </c>
      <c r="B1131" s="4" t="s">
        <v>119</v>
      </c>
      <c r="C1131" s="4" t="s">
        <v>2578</v>
      </c>
      <c r="D1131" s="4" t="s">
        <v>2579</v>
      </c>
      <c r="E1131" s="4">
        <v>34675466122</v>
      </c>
      <c r="F1131" s="4" t="s">
        <v>70</v>
      </c>
      <c r="G1131" s="43">
        <v>46085</v>
      </c>
      <c r="H1131" s="9" t="s">
        <v>856</v>
      </c>
      <c r="I1131" s="4" t="s">
        <v>459</v>
      </c>
      <c r="K1131" s="67" t="b">
        <v>1</v>
      </c>
      <c r="L1131" s="68" t="b">
        <v>0</v>
      </c>
      <c r="N1131" s="67" t="b">
        <v>1</v>
      </c>
      <c r="Q1131" s="67" t="b">
        <v>1</v>
      </c>
      <c r="S1131" s="8"/>
    </row>
    <row r="1132" spans="1:24" ht="12.5">
      <c r="A1132" s="9" t="s">
        <v>5</v>
      </c>
      <c r="B1132" s="4" t="s">
        <v>398</v>
      </c>
      <c r="C1132" s="4" t="s">
        <v>2580</v>
      </c>
      <c r="D1132" s="4" t="s">
        <v>2581</v>
      </c>
      <c r="E1132" s="4">
        <v>34614729875</v>
      </c>
      <c r="F1132" s="4" t="s">
        <v>56</v>
      </c>
      <c r="G1132" s="43">
        <v>46086</v>
      </c>
      <c r="H1132" s="9" t="s">
        <v>856</v>
      </c>
      <c r="I1132" s="4" t="s">
        <v>459</v>
      </c>
      <c r="K1132" s="67" t="b">
        <v>1</v>
      </c>
      <c r="L1132" s="68" t="b">
        <v>0</v>
      </c>
      <c r="N1132" s="67" t="b">
        <v>1</v>
      </c>
      <c r="Q1132" s="67" t="b">
        <v>1</v>
      </c>
      <c r="S1132" s="8"/>
    </row>
    <row r="1133" spans="1:24" ht="12.5">
      <c r="A1133" s="9" t="s">
        <v>5</v>
      </c>
      <c r="B1133" s="4" t="s">
        <v>119</v>
      </c>
      <c r="C1133" s="4" t="s">
        <v>2582</v>
      </c>
      <c r="D1133" s="4" t="s">
        <v>2583</v>
      </c>
      <c r="E1133" s="4">
        <v>34622668251</v>
      </c>
      <c r="F1133" s="4" t="s">
        <v>307</v>
      </c>
      <c r="G1133" s="43">
        <v>46086</v>
      </c>
      <c r="H1133" s="9" t="s">
        <v>856</v>
      </c>
      <c r="I1133" s="4" t="s">
        <v>459</v>
      </c>
      <c r="K1133" s="67" t="b">
        <v>1</v>
      </c>
      <c r="L1133" s="68" t="b">
        <v>0</v>
      </c>
      <c r="N1133" s="67" t="b">
        <v>1</v>
      </c>
      <c r="Q1133" s="67" t="b">
        <v>1</v>
      </c>
      <c r="S1133" s="8"/>
    </row>
    <row r="1134" spans="1:24" ht="12.5">
      <c r="A1134" s="9" t="s">
        <v>5</v>
      </c>
      <c r="B1134" s="4" t="s">
        <v>398</v>
      </c>
      <c r="C1134" s="4" t="s">
        <v>2582</v>
      </c>
      <c r="D1134" s="4" t="s">
        <v>2583</v>
      </c>
      <c r="E1134" s="4">
        <v>34622668251</v>
      </c>
      <c r="F1134" s="4" t="s">
        <v>375</v>
      </c>
      <c r="G1134" s="43">
        <v>46086</v>
      </c>
      <c r="H1134" s="9" t="s">
        <v>856</v>
      </c>
      <c r="I1134" s="4" t="s">
        <v>459</v>
      </c>
      <c r="K1134" s="67" t="b">
        <v>1</v>
      </c>
      <c r="L1134" s="68" t="b">
        <v>0</v>
      </c>
      <c r="N1134" s="67" t="b">
        <v>1</v>
      </c>
      <c r="S1134" s="8"/>
    </row>
    <row r="1135" spans="1:24" ht="12.5">
      <c r="A1135" s="9" t="s">
        <v>5</v>
      </c>
      <c r="B1135" s="4" t="s">
        <v>119</v>
      </c>
      <c r="C1135" s="4" t="s">
        <v>2584</v>
      </c>
      <c r="D1135" s="4" t="s">
        <v>2585</v>
      </c>
      <c r="E1135" s="4">
        <v>6.85711E+17</v>
      </c>
      <c r="F1135" s="4" t="s">
        <v>70</v>
      </c>
      <c r="G1135" s="43">
        <v>46086</v>
      </c>
      <c r="H1135" s="9" t="s">
        <v>856</v>
      </c>
      <c r="I1135" s="4" t="s">
        <v>886</v>
      </c>
      <c r="K1135" s="67" t="b">
        <v>1</v>
      </c>
      <c r="L1135" s="68" t="b">
        <v>0</v>
      </c>
      <c r="N1135" s="67" t="b">
        <v>1</v>
      </c>
      <c r="S1135" s="8"/>
    </row>
    <row r="1136" spans="1:24" ht="12.5">
      <c r="A1136" s="9" t="s">
        <v>5</v>
      </c>
      <c r="B1136" s="4" t="s">
        <v>398</v>
      </c>
      <c r="C1136" s="4" t="s">
        <v>2586</v>
      </c>
      <c r="D1136" s="4" t="s">
        <v>2587</v>
      </c>
      <c r="E1136" s="4">
        <v>56996974476</v>
      </c>
      <c r="F1136" s="4" t="s">
        <v>319</v>
      </c>
      <c r="G1136" s="43">
        <v>46086</v>
      </c>
      <c r="H1136" s="9" t="s">
        <v>856</v>
      </c>
      <c r="I1136" s="4" t="s">
        <v>459</v>
      </c>
      <c r="K1136" s="67" t="b">
        <v>1</v>
      </c>
      <c r="L1136" s="68" t="b">
        <v>0</v>
      </c>
      <c r="N1136" s="67" t="b">
        <v>1</v>
      </c>
      <c r="Q1136" s="67" t="b">
        <v>1</v>
      </c>
      <c r="S1136" s="8"/>
    </row>
    <row r="1137" spans="1:19" ht="12.5">
      <c r="A1137" s="9" t="s">
        <v>5</v>
      </c>
      <c r="B1137" s="4" t="s">
        <v>119</v>
      </c>
      <c r="C1137" s="4" t="s">
        <v>2588</v>
      </c>
      <c r="D1137" s="4" t="s">
        <v>2589</v>
      </c>
      <c r="E1137" s="4">
        <v>34647263576</v>
      </c>
      <c r="F1137" s="4" t="s">
        <v>1500</v>
      </c>
      <c r="G1137" s="43">
        <v>46087</v>
      </c>
      <c r="H1137" s="9" t="s">
        <v>856</v>
      </c>
      <c r="I1137" s="4" t="s">
        <v>459</v>
      </c>
      <c r="K1137" s="67" t="b">
        <v>1</v>
      </c>
      <c r="L1137" s="68" t="b">
        <v>0</v>
      </c>
      <c r="N1137" s="67" t="b">
        <v>1</v>
      </c>
      <c r="Q1137" s="67" t="b">
        <v>1</v>
      </c>
      <c r="S1137" s="8"/>
    </row>
    <row r="1138" spans="1:19" ht="12.5">
      <c r="A1138" s="9" t="s">
        <v>5</v>
      </c>
      <c r="B1138" s="4" t="s">
        <v>398</v>
      </c>
      <c r="C1138" s="4" t="s">
        <v>2590</v>
      </c>
      <c r="D1138" s="4" t="s">
        <v>341</v>
      </c>
      <c r="E1138" s="4">
        <v>527225654337</v>
      </c>
      <c r="F1138" s="4" t="s">
        <v>70</v>
      </c>
      <c r="G1138" s="43">
        <v>46087</v>
      </c>
      <c r="H1138" s="9" t="s">
        <v>856</v>
      </c>
      <c r="I1138" s="4" t="s">
        <v>459</v>
      </c>
      <c r="K1138" s="67" t="b">
        <v>1</v>
      </c>
      <c r="L1138" s="68" t="b">
        <v>0</v>
      </c>
      <c r="N1138" s="67" t="b">
        <v>1</v>
      </c>
      <c r="Q1138" s="67" t="b">
        <v>1</v>
      </c>
      <c r="S1138" s="8"/>
    </row>
    <row r="1139" spans="1:19" ht="12.5">
      <c r="A1139" s="9" t="s">
        <v>5</v>
      </c>
      <c r="B1139" s="4" t="s">
        <v>119</v>
      </c>
      <c r="C1139" s="4" t="s">
        <v>2591</v>
      </c>
      <c r="D1139" s="4" t="s">
        <v>2592</v>
      </c>
      <c r="E1139" s="4">
        <v>526634036866</v>
      </c>
      <c r="F1139" s="4" t="s">
        <v>27</v>
      </c>
      <c r="G1139" s="43">
        <v>46087</v>
      </c>
      <c r="H1139" s="9" t="s">
        <v>856</v>
      </c>
      <c r="I1139" s="4" t="s">
        <v>941</v>
      </c>
      <c r="J1139" s="68" t="b">
        <v>1</v>
      </c>
      <c r="K1139" s="67" t="b">
        <v>1</v>
      </c>
      <c r="L1139" s="68" t="b">
        <v>0</v>
      </c>
      <c r="N1139" s="67" t="b">
        <v>1</v>
      </c>
      <c r="Q1139" s="67" t="b">
        <v>1</v>
      </c>
      <c r="S1139" s="8"/>
    </row>
    <row r="1140" spans="1:19" ht="12.5">
      <c r="A1140" s="9" t="s">
        <v>5</v>
      </c>
      <c r="B1140" s="4" t="s">
        <v>398</v>
      </c>
      <c r="C1140" s="4" t="s">
        <v>2593</v>
      </c>
      <c r="D1140" s="4" t="s">
        <v>2594</v>
      </c>
      <c r="E1140" s="4">
        <v>34620335935</v>
      </c>
      <c r="F1140" s="4" t="s">
        <v>2595</v>
      </c>
      <c r="G1140" s="43">
        <v>46087</v>
      </c>
      <c r="H1140" s="9" t="s">
        <v>856</v>
      </c>
      <c r="I1140" s="4" t="s">
        <v>459</v>
      </c>
      <c r="K1140" s="67" t="b">
        <v>1</v>
      </c>
      <c r="L1140" s="68" t="b">
        <v>0</v>
      </c>
      <c r="N1140" s="67" t="b">
        <v>1</v>
      </c>
      <c r="Q1140" s="67" t="b">
        <v>1</v>
      </c>
      <c r="S1140" s="8"/>
    </row>
    <row r="1141" spans="1:19" ht="12.5">
      <c r="A1141" s="9" t="s">
        <v>5</v>
      </c>
      <c r="B1141" s="4" t="s">
        <v>119</v>
      </c>
      <c r="C1141" s="4" t="s">
        <v>2596</v>
      </c>
      <c r="D1141" s="4" t="s">
        <v>2597</v>
      </c>
      <c r="E1141" s="4">
        <v>525524265374</v>
      </c>
      <c r="F1141" s="4" t="s">
        <v>403</v>
      </c>
      <c r="G1141" s="43">
        <v>46088</v>
      </c>
      <c r="H1141" s="9" t="s">
        <v>856</v>
      </c>
      <c r="I1141" s="4" t="s">
        <v>459</v>
      </c>
      <c r="K1141" s="67"/>
      <c r="L1141" s="68" t="b">
        <v>1</v>
      </c>
      <c r="N1141" s="67"/>
      <c r="O1141" s="68" t="b">
        <v>1</v>
      </c>
      <c r="R1141" s="68" t="b">
        <v>1</v>
      </c>
      <c r="S1141" s="8"/>
    </row>
    <row r="1142" spans="1:19" ht="12.5">
      <c r="A1142" s="9" t="s">
        <v>5</v>
      </c>
      <c r="B1142" s="4" t="s">
        <v>398</v>
      </c>
      <c r="C1142" s="4" t="s">
        <v>2598</v>
      </c>
      <c r="D1142" s="4" t="s">
        <v>2599</v>
      </c>
      <c r="E1142" s="4">
        <v>34670946300</v>
      </c>
      <c r="F1142" s="4" t="s">
        <v>2600</v>
      </c>
      <c r="G1142" s="43">
        <v>46088</v>
      </c>
      <c r="H1142" s="9" t="s">
        <v>856</v>
      </c>
      <c r="I1142" s="4" t="s">
        <v>459</v>
      </c>
      <c r="K1142" s="67" t="b">
        <v>1</v>
      </c>
      <c r="L1142" s="68" t="b">
        <v>0</v>
      </c>
      <c r="N1142" s="67" t="b">
        <v>1</v>
      </c>
      <c r="Q1142" s="67" t="b">
        <v>1</v>
      </c>
      <c r="S1142" s="8"/>
    </row>
    <row r="1143" spans="1:19" ht="12.5">
      <c r="A1143" s="9" t="s">
        <v>5</v>
      </c>
      <c r="B1143" s="4" t="s">
        <v>119</v>
      </c>
      <c r="C1143" s="4" t="s">
        <v>2596</v>
      </c>
      <c r="D1143" s="4" t="s">
        <v>2597</v>
      </c>
      <c r="E1143" s="4">
        <v>525524265374</v>
      </c>
      <c r="F1143" s="4" t="s">
        <v>403</v>
      </c>
      <c r="G1143" s="43">
        <v>46088</v>
      </c>
      <c r="H1143" s="9" t="s">
        <v>856</v>
      </c>
      <c r="I1143" s="4" t="s">
        <v>459</v>
      </c>
      <c r="K1143" s="67" t="b">
        <v>1</v>
      </c>
      <c r="L1143" s="68" t="b">
        <v>1</v>
      </c>
      <c r="N1143" s="67" t="b">
        <v>1</v>
      </c>
      <c r="S1143" s="8"/>
    </row>
    <row r="1144" spans="1:19" ht="12.5">
      <c r="A1144" s="9" t="s">
        <v>381</v>
      </c>
      <c r="B1144" s="4" t="s">
        <v>398</v>
      </c>
      <c r="C1144" s="4" t="s">
        <v>2601</v>
      </c>
      <c r="D1144" s="4" t="s">
        <v>2602</v>
      </c>
      <c r="E1144" s="4">
        <v>34699181016</v>
      </c>
      <c r="F1144" s="4" t="s">
        <v>2603</v>
      </c>
      <c r="G1144" s="43">
        <v>46089</v>
      </c>
      <c r="H1144" s="9" t="s">
        <v>856</v>
      </c>
      <c r="I1144" s="4" t="s">
        <v>459</v>
      </c>
      <c r="K1144" s="67" t="b">
        <v>1</v>
      </c>
      <c r="L1144" s="68" t="b">
        <v>0</v>
      </c>
      <c r="N1144" s="67" t="b">
        <v>1</v>
      </c>
      <c r="Q1144" s="67" t="b">
        <v>1</v>
      </c>
      <c r="S1144" s="8"/>
    </row>
    <row r="1145" spans="1:19" ht="12.5">
      <c r="A1145" s="9" t="s">
        <v>5</v>
      </c>
      <c r="B1145" s="4" t="s">
        <v>119</v>
      </c>
      <c r="C1145" s="4" t="s">
        <v>2604</v>
      </c>
      <c r="D1145" s="4" t="s">
        <v>2605</v>
      </c>
      <c r="E1145" s="4">
        <v>49017677562946</v>
      </c>
      <c r="F1145" s="4" t="s">
        <v>2008</v>
      </c>
      <c r="G1145" s="43">
        <v>46089</v>
      </c>
      <c r="H1145" s="9" t="s">
        <v>856</v>
      </c>
      <c r="I1145" s="4" t="s">
        <v>459</v>
      </c>
      <c r="J1145" s="68" t="b">
        <v>1</v>
      </c>
      <c r="K1145" s="67" t="b">
        <v>1</v>
      </c>
      <c r="L1145" s="68" t="b">
        <v>0</v>
      </c>
      <c r="N1145" s="67" t="b">
        <v>1</v>
      </c>
      <c r="Q1145" s="67" t="b">
        <v>1</v>
      </c>
      <c r="S1145" s="8"/>
    </row>
    <row r="1146" spans="1:19" ht="12.5">
      <c r="A1146" s="9" t="s">
        <v>381</v>
      </c>
      <c r="B1146" s="4" t="s">
        <v>398</v>
      </c>
      <c r="C1146" s="4" t="s">
        <v>2606</v>
      </c>
      <c r="D1146" s="4" t="s">
        <v>2607</v>
      </c>
      <c r="E1146" s="4">
        <v>51965114267</v>
      </c>
      <c r="F1146" s="4" t="s">
        <v>420</v>
      </c>
      <c r="G1146" s="43">
        <v>46089</v>
      </c>
      <c r="H1146" s="9" t="s">
        <v>856</v>
      </c>
      <c r="I1146" s="4" t="s">
        <v>459</v>
      </c>
      <c r="K1146" s="67" t="b">
        <v>1</v>
      </c>
      <c r="L1146" s="68" t="b">
        <v>0</v>
      </c>
      <c r="N1146" s="67" t="b">
        <v>1</v>
      </c>
      <c r="Q1146" s="67" t="b">
        <v>1</v>
      </c>
      <c r="S1146" s="8"/>
    </row>
    <row r="1147" spans="1:19" ht="12.5">
      <c r="A1147" s="9" t="s">
        <v>5</v>
      </c>
      <c r="B1147" s="4" t="s">
        <v>119</v>
      </c>
      <c r="C1147" s="4" t="s">
        <v>320</v>
      </c>
      <c r="D1147" s="4" t="s">
        <v>2608</v>
      </c>
      <c r="E1147" s="4">
        <v>34669504878</v>
      </c>
      <c r="F1147" s="4" t="s">
        <v>27</v>
      </c>
      <c r="G1147" s="43">
        <v>46089</v>
      </c>
      <c r="H1147" s="9" t="s">
        <v>856</v>
      </c>
      <c r="I1147" s="4" t="s">
        <v>459</v>
      </c>
      <c r="J1147" s="68" t="b">
        <v>1</v>
      </c>
      <c r="K1147" s="67" t="b">
        <v>1</v>
      </c>
      <c r="L1147" s="68" t="b">
        <v>0</v>
      </c>
      <c r="N1147" s="67" t="b">
        <v>1</v>
      </c>
      <c r="Q1147" s="67" t="b">
        <v>1</v>
      </c>
      <c r="S1147" s="8"/>
    </row>
    <row r="1148" spans="1:19" ht="12.5">
      <c r="A1148" s="9" t="s">
        <v>240</v>
      </c>
      <c r="B1148" s="4" t="s">
        <v>398</v>
      </c>
      <c r="C1148" s="4" t="s">
        <v>2609</v>
      </c>
      <c r="E1148" s="4">
        <v>34645931659</v>
      </c>
      <c r="F1148" s="4" t="s">
        <v>2610</v>
      </c>
      <c r="G1148" s="43">
        <v>46089</v>
      </c>
      <c r="H1148" s="9" t="s">
        <v>856</v>
      </c>
      <c r="I1148" s="4" t="s">
        <v>459</v>
      </c>
      <c r="J1148" s="4"/>
      <c r="K1148" s="67" t="b">
        <v>1</v>
      </c>
      <c r="L1148" s="4"/>
      <c r="M1148" s="4"/>
      <c r="N1148" s="67" t="b">
        <v>1</v>
      </c>
      <c r="O1148" s="4"/>
      <c r="P1148" s="4"/>
      <c r="Q1148" s="67" t="b">
        <v>1</v>
      </c>
      <c r="R1148" s="4"/>
      <c r="S1148" s="8"/>
    </row>
    <row r="1149" spans="1:19" ht="12.5">
      <c r="A1149" s="9" t="s">
        <v>5</v>
      </c>
      <c r="B1149" s="4" t="s">
        <v>119</v>
      </c>
      <c r="E1149" s="4" t="s">
        <v>2611</v>
      </c>
      <c r="F1149" s="4" t="s">
        <v>984</v>
      </c>
      <c r="G1149" s="43">
        <v>46089</v>
      </c>
      <c r="H1149" s="9" t="s">
        <v>956</v>
      </c>
      <c r="I1149" s="4" t="s">
        <v>459</v>
      </c>
      <c r="J1149" s="4"/>
      <c r="K1149" s="67" t="b">
        <v>1</v>
      </c>
      <c r="L1149" s="4"/>
      <c r="M1149" s="4"/>
      <c r="N1149" s="67" t="b">
        <v>1</v>
      </c>
      <c r="O1149" s="4"/>
      <c r="P1149" s="4"/>
      <c r="Q1149" s="67" t="b">
        <v>1</v>
      </c>
      <c r="R1149" s="4"/>
      <c r="S1149" s="8"/>
    </row>
    <row r="1150" spans="1:19" ht="12.5">
      <c r="A1150" s="9" t="s">
        <v>5</v>
      </c>
      <c r="B1150" s="4" t="s">
        <v>398</v>
      </c>
      <c r="C1150" s="4" t="s">
        <v>2612</v>
      </c>
      <c r="E1150" s="4" t="s">
        <v>2613</v>
      </c>
      <c r="F1150" s="4" t="s">
        <v>140</v>
      </c>
      <c r="G1150" s="43">
        <v>46089</v>
      </c>
      <c r="H1150" s="9" t="s">
        <v>956</v>
      </c>
      <c r="I1150" s="4" t="s">
        <v>459</v>
      </c>
      <c r="J1150" s="4"/>
      <c r="K1150" s="67" t="b">
        <v>1</v>
      </c>
      <c r="L1150" s="4"/>
      <c r="M1150" s="4"/>
      <c r="N1150" s="67" t="b">
        <v>1</v>
      </c>
      <c r="O1150" s="4"/>
      <c r="P1150" s="4"/>
      <c r="Q1150" s="67" t="b">
        <v>1</v>
      </c>
      <c r="R1150" s="4"/>
      <c r="S1150" s="8"/>
    </row>
    <row r="1151" spans="1:19" ht="12.5">
      <c r="A1151" s="4" t="s">
        <v>240</v>
      </c>
      <c r="B1151" s="4" t="s">
        <v>119</v>
      </c>
      <c r="E1151" s="4" t="s">
        <v>2614</v>
      </c>
      <c r="G1151" s="43">
        <v>46089</v>
      </c>
      <c r="H1151" s="9" t="s">
        <v>956</v>
      </c>
      <c r="I1151" s="4" t="s">
        <v>459</v>
      </c>
      <c r="J1151" s="4"/>
      <c r="K1151" s="67" t="b">
        <v>1</v>
      </c>
      <c r="L1151" s="4"/>
      <c r="M1151" s="4"/>
      <c r="N1151" s="67" t="b">
        <v>1</v>
      </c>
      <c r="O1151" s="4"/>
      <c r="P1151" s="4"/>
      <c r="Q1151" s="4"/>
      <c r="R1151" s="4"/>
      <c r="S1151" s="8"/>
    </row>
    <row r="1152" spans="1:19" ht="12.5">
      <c r="A1152" s="4" t="s">
        <v>5</v>
      </c>
      <c r="B1152" s="4" t="s">
        <v>398</v>
      </c>
      <c r="E1152" s="4" t="s">
        <v>2615</v>
      </c>
      <c r="F1152" s="4" t="s">
        <v>2008</v>
      </c>
      <c r="G1152" s="43">
        <v>46089</v>
      </c>
      <c r="H1152" s="9" t="s">
        <v>956</v>
      </c>
      <c r="I1152" s="4" t="s">
        <v>459</v>
      </c>
      <c r="J1152" s="68" t="b">
        <v>1</v>
      </c>
      <c r="K1152" s="67" t="b">
        <v>1</v>
      </c>
      <c r="L1152" s="4"/>
      <c r="M1152" s="4"/>
      <c r="N1152" s="67" t="b">
        <v>1</v>
      </c>
      <c r="O1152" s="4"/>
      <c r="P1152" s="4"/>
      <c r="Q1152" s="67" t="b">
        <v>1</v>
      </c>
      <c r="R1152" s="4"/>
      <c r="S1152" s="8"/>
    </row>
    <row r="1153" spans="1:19" ht="12.5">
      <c r="A1153" s="4" t="s">
        <v>5</v>
      </c>
      <c r="B1153" s="4" t="s">
        <v>119</v>
      </c>
      <c r="C1153" s="4" t="s">
        <v>2616</v>
      </c>
      <c r="D1153" s="4" t="s">
        <v>2617</v>
      </c>
      <c r="E1153" s="4">
        <v>8093980607</v>
      </c>
      <c r="F1153" s="4" t="s">
        <v>328</v>
      </c>
      <c r="G1153" s="43">
        <v>46090</v>
      </c>
      <c r="H1153" s="9" t="s">
        <v>856</v>
      </c>
      <c r="I1153" s="4" t="s">
        <v>459</v>
      </c>
      <c r="J1153" s="68" t="b">
        <v>0</v>
      </c>
      <c r="K1153" s="67"/>
      <c r="L1153" s="68" t="b">
        <v>1</v>
      </c>
      <c r="N1153" s="67"/>
      <c r="S1153" s="8"/>
    </row>
    <row r="1154" spans="1:19" ht="12.5">
      <c r="A1154" s="4" t="s">
        <v>5</v>
      </c>
      <c r="B1154" s="4" t="s">
        <v>398</v>
      </c>
      <c r="C1154" s="4" t="s">
        <v>2618</v>
      </c>
      <c r="E1154" s="4" t="s">
        <v>2619</v>
      </c>
      <c r="F1154" s="4" t="s">
        <v>52</v>
      </c>
      <c r="G1154" s="43">
        <v>46090</v>
      </c>
      <c r="H1154" s="9" t="s">
        <v>956</v>
      </c>
      <c r="I1154" s="4" t="s">
        <v>459</v>
      </c>
      <c r="J1154" s="4"/>
      <c r="K1154" s="67" t="b">
        <v>1</v>
      </c>
      <c r="L1154" s="4"/>
      <c r="M1154" s="4"/>
      <c r="N1154" s="67" t="b">
        <v>1</v>
      </c>
      <c r="O1154" s="4"/>
      <c r="P1154" s="4"/>
      <c r="Q1154" s="67" t="b">
        <v>1</v>
      </c>
      <c r="R1154" s="4"/>
      <c r="S1154" s="8"/>
    </row>
    <row r="1155" spans="1:19" ht="12.5">
      <c r="A1155" s="4" t="s">
        <v>5</v>
      </c>
      <c r="B1155" s="4" t="s">
        <v>119</v>
      </c>
      <c r="C1155" s="4" t="s">
        <v>2620</v>
      </c>
      <c r="D1155" s="4" t="s">
        <v>2621</v>
      </c>
      <c r="E1155" s="4">
        <v>34607328926</v>
      </c>
      <c r="F1155" s="4" t="s">
        <v>52</v>
      </c>
      <c r="G1155" s="43">
        <v>46090</v>
      </c>
      <c r="H1155" s="9" t="s">
        <v>856</v>
      </c>
      <c r="I1155" s="4" t="s">
        <v>886</v>
      </c>
      <c r="K1155" s="67" t="b">
        <v>1</v>
      </c>
      <c r="N1155" s="67" t="b">
        <v>1</v>
      </c>
      <c r="Q1155" s="67" t="b">
        <v>1</v>
      </c>
      <c r="S1155" s="8"/>
    </row>
    <row r="1156" spans="1:19" ht="12.5">
      <c r="A1156" s="4" t="s">
        <v>5</v>
      </c>
      <c r="B1156" s="4" t="s">
        <v>398</v>
      </c>
      <c r="C1156" s="4" t="s">
        <v>2622</v>
      </c>
      <c r="D1156" s="4" t="s">
        <v>2623</v>
      </c>
      <c r="E1156" s="4">
        <v>529841328612</v>
      </c>
      <c r="F1156" s="4" t="s">
        <v>1823</v>
      </c>
      <c r="G1156" s="43">
        <v>46091</v>
      </c>
      <c r="H1156" s="9" t="s">
        <v>856</v>
      </c>
      <c r="I1156" s="4" t="s">
        <v>459</v>
      </c>
      <c r="J1156" s="68" t="b">
        <v>1</v>
      </c>
      <c r="K1156" s="67" t="b">
        <v>1</v>
      </c>
      <c r="N1156" s="67" t="b">
        <v>1</v>
      </c>
      <c r="Q1156" s="67" t="b">
        <v>1</v>
      </c>
      <c r="S1156" s="8"/>
    </row>
    <row r="1157" spans="1:19" ht="12.5">
      <c r="A1157" s="4" t="s">
        <v>5</v>
      </c>
      <c r="B1157" s="4" t="s">
        <v>119</v>
      </c>
      <c r="C1157" s="4" t="s">
        <v>2624</v>
      </c>
      <c r="D1157" s="4" t="s">
        <v>2625</v>
      </c>
      <c r="E1157" s="4">
        <v>56982284472</v>
      </c>
      <c r="F1157" s="4" t="s">
        <v>307</v>
      </c>
      <c r="G1157" s="43">
        <v>46091</v>
      </c>
      <c r="H1157" s="9" t="s">
        <v>856</v>
      </c>
      <c r="I1157" s="4" t="s">
        <v>459</v>
      </c>
      <c r="K1157" s="67" t="b">
        <v>1</v>
      </c>
      <c r="N1157" s="67" t="b">
        <v>1</v>
      </c>
      <c r="Q1157" s="67" t="b">
        <v>1</v>
      </c>
      <c r="S1157" s="8"/>
    </row>
    <row r="1158" spans="1:19" ht="12.5">
      <c r="A1158" s="4" t="s">
        <v>5</v>
      </c>
      <c r="B1158" s="4" t="s">
        <v>398</v>
      </c>
      <c r="C1158" s="4" t="s">
        <v>2626</v>
      </c>
      <c r="D1158" s="4" t="s">
        <v>2627</v>
      </c>
      <c r="E1158" s="4">
        <v>34616667985</v>
      </c>
      <c r="F1158" s="4" t="s">
        <v>324</v>
      </c>
      <c r="G1158" s="43">
        <v>46091</v>
      </c>
      <c r="H1158" s="9" t="s">
        <v>856</v>
      </c>
      <c r="I1158" s="4" t="s">
        <v>459</v>
      </c>
      <c r="J1158" s="68" t="b">
        <v>1</v>
      </c>
      <c r="K1158" s="67" t="b">
        <v>1</v>
      </c>
      <c r="N1158" s="67" t="b">
        <v>1</v>
      </c>
      <c r="Q1158" s="67" t="b">
        <v>1</v>
      </c>
      <c r="S1158" s="8"/>
    </row>
    <row r="1159" spans="1:19" ht="12.5">
      <c r="A1159" s="4" t="s">
        <v>5</v>
      </c>
      <c r="B1159" s="4" t="s">
        <v>119</v>
      </c>
      <c r="C1159" s="4" t="s">
        <v>2628</v>
      </c>
      <c r="E1159" s="4" t="s">
        <v>2629</v>
      </c>
      <c r="F1159" s="4" t="s">
        <v>70</v>
      </c>
      <c r="G1159" s="43">
        <v>46091</v>
      </c>
      <c r="H1159" s="9" t="s">
        <v>956</v>
      </c>
      <c r="I1159" s="4" t="s">
        <v>459</v>
      </c>
      <c r="J1159" s="68" t="b">
        <v>1</v>
      </c>
      <c r="K1159" s="67" t="b">
        <v>1</v>
      </c>
      <c r="L1159" s="4"/>
      <c r="M1159" s="4"/>
      <c r="N1159" s="67" t="b">
        <v>1</v>
      </c>
      <c r="O1159" s="4"/>
      <c r="P1159" s="4"/>
      <c r="Q1159" s="67" t="b">
        <v>1</v>
      </c>
      <c r="R1159" s="4"/>
      <c r="S1159" s="8"/>
    </row>
    <row r="1160" spans="1:19" ht="12.5">
      <c r="A1160" s="9" t="s">
        <v>381</v>
      </c>
      <c r="B1160" s="4" t="s">
        <v>398</v>
      </c>
      <c r="C1160" s="4" t="s">
        <v>2630</v>
      </c>
      <c r="E1160" s="4" t="s">
        <v>2631</v>
      </c>
      <c r="F1160" s="4" t="s">
        <v>2632</v>
      </c>
      <c r="G1160" s="43">
        <v>46091</v>
      </c>
      <c r="H1160" s="9" t="s">
        <v>956</v>
      </c>
      <c r="I1160" s="4" t="s">
        <v>459</v>
      </c>
      <c r="J1160" s="4"/>
      <c r="K1160" s="67" t="b">
        <v>1</v>
      </c>
      <c r="L1160" s="4"/>
      <c r="M1160" s="4"/>
      <c r="N1160" s="67" t="b">
        <v>1</v>
      </c>
      <c r="O1160" s="4"/>
      <c r="P1160" s="4"/>
      <c r="Q1160" s="67" t="b">
        <v>1</v>
      </c>
      <c r="R1160" s="4"/>
      <c r="S1160" s="8"/>
    </row>
    <row r="1161" spans="1:19" ht="12.5">
      <c r="A1161" s="4" t="s">
        <v>5</v>
      </c>
      <c r="B1161" s="4" t="s">
        <v>119</v>
      </c>
      <c r="C1161" s="4" t="s">
        <v>2633</v>
      </c>
      <c r="E1161" s="4" t="s">
        <v>2634</v>
      </c>
      <c r="F1161" s="4" t="s">
        <v>52</v>
      </c>
      <c r="G1161" s="43">
        <v>46091</v>
      </c>
      <c r="H1161" s="9" t="s">
        <v>956</v>
      </c>
      <c r="I1161" s="4" t="s">
        <v>459</v>
      </c>
      <c r="J1161" s="4"/>
      <c r="K1161" s="67" t="b">
        <v>1</v>
      </c>
      <c r="L1161" s="4"/>
      <c r="M1161" s="4"/>
      <c r="N1161" s="67" t="b">
        <v>1</v>
      </c>
      <c r="O1161" s="4"/>
      <c r="P1161" s="4"/>
      <c r="Q1161" s="67" t="b">
        <v>1</v>
      </c>
      <c r="R1161" s="4"/>
      <c r="S1161" s="8"/>
    </row>
    <row r="1162" spans="1:19" ht="12.5">
      <c r="A1162" s="4" t="s">
        <v>5</v>
      </c>
      <c r="B1162" s="4" t="s">
        <v>398</v>
      </c>
      <c r="E1162" s="4" t="s">
        <v>2635</v>
      </c>
      <c r="F1162" s="4" t="s">
        <v>319</v>
      </c>
      <c r="G1162" s="43">
        <v>46091</v>
      </c>
      <c r="H1162" s="9" t="s">
        <v>956</v>
      </c>
      <c r="I1162" s="4" t="s">
        <v>459</v>
      </c>
      <c r="J1162" s="4"/>
      <c r="K1162" s="67" t="b">
        <v>1</v>
      </c>
      <c r="L1162" s="4"/>
      <c r="M1162" s="4"/>
      <c r="N1162" s="67" t="b">
        <v>1</v>
      </c>
      <c r="O1162" s="4"/>
      <c r="P1162" s="4"/>
      <c r="Q1162" s="67" t="b">
        <v>1</v>
      </c>
      <c r="R1162" s="4"/>
      <c r="S1162" s="8"/>
    </row>
    <row r="1163" spans="1:19" ht="12.5">
      <c r="A1163" s="9" t="s">
        <v>381</v>
      </c>
      <c r="B1163" s="4" t="s">
        <v>119</v>
      </c>
      <c r="C1163" s="4" t="s">
        <v>1784</v>
      </c>
      <c r="E1163" s="4" t="s">
        <v>2636</v>
      </c>
      <c r="F1163" s="4" t="s">
        <v>2637</v>
      </c>
      <c r="G1163" s="43">
        <v>46091</v>
      </c>
      <c r="H1163" s="9" t="s">
        <v>956</v>
      </c>
      <c r="I1163" s="4" t="s">
        <v>459</v>
      </c>
      <c r="J1163" s="4"/>
      <c r="K1163" s="67" t="b">
        <v>1</v>
      </c>
      <c r="L1163" s="4"/>
      <c r="M1163" s="4"/>
      <c r="N1163" s="67" t="b">
        <v>1</v>
      </c>
      <c r="O1163" s="4"/>
      <c r="P1163" s="4"/>
      <c r="Q1163" s="67" t="b">
        <v>1</v>
      </c>
      <c r="R1163" s="4"/>
      <c r="S1163" s="8"/>
    </row>
    <row r="1164" spans="1:19" ht="12.5">
      <c r="A1164" s="4" t="s">
        <v>5</v>
      </c>
      <c r="B1164" s="4" t="s">
        <v>398</v>
      </c>
      <c r="E1164" s="4" t="s">
        <v>2638</v>
      </c>
      <c r="F1164" s="4" t="s">
        <v>1783</v>
      </c>
      <c r="G1164" s="43">
        <v>46091</v>
      </c>
      <c r="H1164" s="9" t="s">
        <v>956</v>
      </c>
      <c r="I1164" s="4" t="s">
        <v>459</v>
      </c>
      <c r="J1164" s="4"/>
      <c r="K1164" s="67" t="b">
        <v>1</v>
      </c>
      <c r="L1164" s="4"/>
      <c r="M1164" s="4"/>
      <c r="N1164" s="67" t="b">
        <v>1</v>
      </c>
      <c r="O1164" s="4"/>
      <c r="P1164" s="4"/>
      <c r="Q1164" s="67" t="b">
        <v>1</v>
      </c>
      <c r="R1164" s="4"/>
      <c r="S1164" s="8"/>
    </row>
    <row r="1165" spans="1:19" ht="12.5">
      <c r="A1165" s="4" t="s">
        <v>5</v>
      </c>
      <c r="B1165" s="4" t="s">
        <v>119</v>
      </c>
      <c r="C1165" s="4" t="s">
        <v>2639</v>
      </c>
      <c r="D1165" s="4" t="s">
        <v>2640</v>
      </c>
      <c r="E1165" s="4">
        <v>34620831895</v>
      </c>
      <c r="F1165" s="4" t="s">
        <v>338</v>
      </c>
      <c r="G1165" s="43">
        <v>46091</v>
      </c>
      <c r="H1165" s="9" t="s">
        <v>856</v>
      </c>
      <c r="I1165" s="4" t="s">
        <v>459</v>
      </c>
      <c r="K1165" s="67" t="b">
        <v>1</v>
      </c>
      <c r="N1165" s="67" t="b">
        <v>1</v>
      </c>
      <c r="Q1165" s="67" t="b">
        <v>1</v>
      </c>
      <c r="S1165" s="8"/>
    </row>
    <row r="1166" spans="1:19" ht="14.5">
      <c r="A1166" s="9" t="s">
        <v>381</v>
      </c>
      <c r="B1166" s="4" t="s">
        <v>398</v>
      </c>
      <c r="C1166" s="53" t="s">
        <v>2641</v>
      </c>
      <c r="D1166" s="95" t="s">
        <v>2642</v>
      </c>
      <c r="E1166" s="4" t="s">
        <v>2643</v>
      </c>
      <c r="F1166" s="53" t="s">
        <v>1607</v>
      </c>
      <c r="G1166" s="43">
        <v>46091</v>
      </c>
      <c r="H1166" s="9" t="s">
        <v>856</v>
      </c>
      <c r="I1166" s="4" t="s">
        <v>941</v>
      </c>
      <c r="J1166" s="68" t="b">
        <v>1</v>
      </c>
      <c r="K1166" s="67" t="b">
        <v>1</v>
      </c>
      <c r="L1166" s="4"/>
      <c r="M1166" s="4"/>
      <c r="N1166" s="67" t="b">
        <v>1</v>
      </c>
      <c r="O1166" s="4"/>
      <c r="P1166" s="4"/>
      <c r="Q1166" s="67" t="b">
        <v>1</v>
      </c>
      <c r="R1166" s="4"/>
      <c r="S1166" s="8"/>
    </row>
    <row r="1167" spans="1:19" ht="14.5">
      <c r="A1167" s="9" t="s">
        <v>5</v>
      </c>
      <c r="B1167" s="4" t="s">
        <v>119</v>
      </c>
      <c r="C1167" s="53" t="s">
        <v>1515</v>
      </c>
      <c r="D1167" s="95" t="s">
        <v>1516</v>
      </c>
      <c r="E1167" s="4">
        <v>56995377607</v>
      </c>
      <c r="F1167" s="53" t="s">
        <v>285</v>
      </c>
      <c r="G1167" s="43">
        <v>46091</v>
      </c>
      <c r="H1167" s="9" t="s">
        <v>856</v>
      </c>
      <c r="I1167" s="4" t="s">
        <v>459</v>
      </c>
      <c r="K1167" s="67" t="b">
        <v>1</v>
      </c>
      <c r="N1167" s="67" t="b">
        <v>1</v>
      </c>
      <c r="S1167" s="8"/>
    </row>
    <row r="1168" spans="1:19" ht="12.5">
      <c r="A1168" s="9" t="s">
        <v>5</v>
      </c>
      <c r="B1168" s="4" t="s">
        <v>398</v>
      </c>
      <c r="E1168" s="4" t="s">
        <v>2644</v>
      </c>
      <c r="F1168" s="4" t="s">
        <v>2645</v>
      </c>
      <c r="G1168" s="43">
        <v>46091</v>
      </c>
      <c r="H1168" s="9" t="s">
        <v>956</v>
      </c>
      <c r="I1168" s="4" t="s">
        <v>2646</v>
      </c>
      <c r="J1168" s="4"/>
      <c r="K1168" s="67" t="b">
        <v>1</v>
      </c>
      <c r="L1168" s="4"/>
      <c r="M1168" s="4"/>
      <c r="N1168" s="67" t="b">
        <v>1</v>
      </c>
      <c r="O1168" s="4"/>
      <c r="P1168" s="4"/>
      <c r="Q1168" s="67" t="b">
        <v>1</v>
      </c>
      <c r="R1168" s="4"/>
      <c r="S1168" s="8"/>
    </row>
    <row r="1169" spans="1:19" ht="12.5">
      <c r="A1169" s="4" t="s">
        <v>240</v>
      </c>
      <c r="B1169" s="4" t="s">
        <v>119</v>
      </c>
      <c r="E1169" s="4" t="s">
        <v>2647</v>
      </c>
      <c r="G1169" s="43">
        <v>46091</v>
      </c>
      <c r="H1169" s="9" t="s">
        <v>956</v>
      </c>
      <c r="I1169" s="4" t="s">
        <v>459</v>
      </c>
      <c r="J1169" s="4"/>
      <c r="K1169" s="67" t="b">
        <v>1</v>
      </c>
      <c r="L1169" s="4"/>
      <c r="M1169" s="4"/>
      <c r="N1169" s="67" t="b">
        <v>1</v>
      </c>
      <c r="O1169" s="4"/>
      <c r="P1169" s="4"/>
      <c r="Q1169" s="4"/>
      <c r="R1169" s="4"/>
      <c r="S1169" s="8"/>
    </row>
    <row r="1170" spans="1:19" ht="12.5">
      <c r="A1170" s="4" t="s">
        <v>5</v>
      </c>
      <c r="B1170" s="4" t="s">
        <v>398</v>
      </c>
      <c r="C1170" s="4" t="s">
        <v>2648</v>
      </c>
      <c r="D1170" s="4" t="s">
        <v>342</v>
      </c>
      <c r="E1170" s="4">
        <v>376614228</v>
      </c>
      <c r="F1170" s="4" t="s">
        <v>864</v>
      </c>
      <c r="G1170" s="43">
        <v>46091</v>
      </c>
      <c r="H1170" s="9" t="s">
        <v>856</v>
      </c>
      <c r="I1170" s="4" t="s">
        <v>448</v>
      </c>
      <c r="K1170" s="67" t="b">
        <v>1</v>
      </c>
      <c r="N1170" s="67" t="b">
        <v>1</v>
      </c>
      <c r="S1170" s="8"/>
    </row>
    <row r="1171" spans="1:19" ht="12.5">
      <c r="A1171" s="4" t="s">
        <v>5</v>
      </c>
      <c r="B1171" s="4" t="s">
        <v>119</v>
      </c>
      <c r="C1171" s="4" t="s">
        <v>2649</v>
      </c>
      <c r="D1171" s="4" t="s">
        <v>2650</v>
      </c>
      <c r="E1171" s="4">
        <v>34607530264</v>
      </c>
      <c r="F1171" s="4" t="s">
        <v>386</v>
      </c>
      <c r="G1171" s="43">
        <v>46091</v>
      </c>
      <c r="H1171" s="9" t="s">
        <v>856</v>
      </c>
      <c r="I1171" s="4" t="s">
        <v>886</v>
      </c>
      <c r="K1171" s="67" t="b">
        <v>1</v>
      </c>
      <c r="N1171" s="67" t="b">
        <v>1</v>
      </c>
      <c r="Q1171" s="67" t="b">
        <v>1</v>
      </c>
      <c r="S1171" s="8"/>
    </row>
    <row r="1172" spans="1:19" ht="12.5">
      <c r="A1172" s="4" t="s">
        <v>5</v>
      </c>
      <c r="B1172" s="4" t="s">
        <v>398</v>
      </c>
      <c r="C1172" s="4" t="s">
        <v>329</v>
      </c>
      <c r="D1172" s="4" t="s">
        <v>2651</v>
      </c>
      <c r="E1172" s="4">
        <v>34608408191</v>
      </c>
      <c r="F1172" s="4" t="s">
        <v>70</v>
      </c>
      <c r="G1172" s="43">
        <v>46092</v>
      </c>
      <c r="H1172" s="9" t="s">
        <v>856</v>
      </c>
      <c r="I1172" s="4" t="s">
        <v>941</v>
      </c>
      <c r="J1172" s="68" t="b">
        <v>1</v>
      </c>
      <c r="K1172" s="67" t="b">
        <v>1</v>
      </c>
      <c r="N1172" s="67" t="b">
        <v>1</v>
      </c>
      <c r="Q1172" s="67" t="b">
        <v>1</v>
      </c>
      <c r="S1172" s="8"/>
    </row>
    <row r="1173" spans="1:19" ht="12.5">
      <c r="A1173" s="4" t="s">
        <v>5</v>
      </c>
      <c r="B1173" s="4" t="s">
        <v>119</v>
      </c>
      <c r="C1173" s="4" t="s">
        <v>2652</v>
      </c>
      <c r="D1173" s="4" t="s">
        <v>2653</v>
      </c>
      <c r="E1173" s="4">
        <v>376631948</v>
      </c>
      <c r="F1173" s="4" t="s">
        <v>702</v>
      </c>
      <c r="G1173" s="43">
        <v>46092</v>
      </c>
      <c r="H1173" s="9" t="s">
        <v>856</v>
      </c>
      <c r="I1173" s="4" t="s">
        <v>459</v>
      </c>
      <c r="J1173" s="68" t="b">
        <v>1</v>
      </c>
      <c r="K1173" s="67" t="b">
        <v>1</v>
      </c>
      <c r="N1173" s="67" t="b">
        <v>1</v>
      </c>
      <c r="S1173" s="8"/>
    </row>
    <row r="1174" spans="1:19" ht="12.5">
      <c r="A1174" s="4" t="s">
        <v>5</v>
      </c>
      <c r="B1174" s="4" t="s">
        <v>398</v>
      </c>
      <c r="E1174" s="4" t="s">
        <v>2654</v>
      </c>
      <c r="F1174" s="4" t="s">
        <v>27</v>
      </c>
      <c r="G1174" s="43">
        <v>46092</v>
      </c>
      <c r="H1174" s="9" t="s">
        <v>956</v>
      </c>
      <c r="I1174" s="4" t="s">
        <v>459</v>
      </c>
      <c r="J1174" s="4"/>
      <c r="K1174" s="67" t="b">
        <v>1</v>
      </c>
      <c r="L1174" s="4"/>
      <c r="M1174" s="4"/>
      <c r="N1174" s="67" t="b">
        <v>1</v>
      </c>
      <c r="O1174" s="4"/>
      <c r="P1174" s="4"/>
      <c r="Q1174" s="67" t="b">
        <v>1</v>
      </c>
      <c r="R1174" s="4"/>
      <c r="S1174" s="8"/>
    </row>
    <row r="1175" spans="1:19" ht="12.5">
      <c r="A1175" s="4" t="s">
        <v>5</v>
      </c>
      <c r="B1175" s="4" t="s">
        <v>119</v>
      </c>
      <c r="E1175" s="4" t="s">
        <v>2655</v>
      </c>
      <c r="F1175" s="4" t="s">
        <v>82</v>
      </c>
      <c r="G1175" s="43">
        <v>46092</v>
      </c>
      <c r="H1175" s="9" t="s">
        <v>956</v>
      </c>
      <c r="I1175" s="4" t="s">
        <v>459</v>
      </c>
      <c r="J1175" s="4"/>
      <c r="K1175" s="67" t="b">
        <v>1</v>
      </c>
      <c r="L1175" s="4"/>
      <c r="M1175" s="4"/>
      <c r="N1175" s="67" t="b">
        <v>1</v>
      </c>
      <c r="O1175" s="4"/>
      <c r="P1175" s="4"/>
      <c r="Q1175" s="67" t="b">
        <v>1</v>
      </c>
      <c r="R1175" s="4"/>
      <c r="S1175" s="8"/>
    </row>
    <row r="1176" spans="1:19" ht="12.5">
      <c r="A1176" s="4" t="s">
        <v>5</v>
      </c>
      <c r="B1176" s="4" t="s">
        <v>398</v>
      </c>
      <c r="E1176" s="4" t="s">
        <v>2656</v>
      </c>
      <c r="F1176" s="4" t="s">
        <v>52</v>
      </c>
      <c r="G1176" s="43">
        <v>46092</v>
      </c>
      <c r="H1176" s="9" t="s">
        <v>956</v>
      </c>
      <c r="I1176" s="4" t="s">
        <v>459</v>
      </c>
      <c r="J1176" s="4"/>
      <c r="K1176" s="67" t="b">
        <v>1</v>
      </c>
      <c r="L1176" s="4"/>
      <c r="M1176" s="4"/>
      <c r="N1176" s="67" t="b">
        <v>1</v>
      </c>
      <c r="O1176" s="4"/>
      <c r="P1176" s="4"/>
      <c r="Q1176" s="67" t="b">
        <v>1</v>
      </c>
      <c r="R1176" s="4"/>
      <c r="S1176" s="8"/>
    </row>
    <row r="1177" spans="1:19" ht="12.5">
      <c r="A1177" s="4" t="s">
        <v>5</v>
      </c>
      <c r="B1177" s="4" t="s">
        <v>119</v>
      </c>
      <c r="C1177" s="4" t="s">
        <v>2657</v>
      </c>
      <c r="E1177" s="4" t="s">
        <v>2658</v>
      </c>
      <c r="F1177" s="4" t="s">
        <v>702</v>
      </c>
      <c r="G1177" s="43">
        <v>46092</v>
      </c>
      <c r="H1177" s="9" t="s">
        <v>956</v>
      </c>
      <c r="I1177" s="4" t="s">
        <v>459</v>
      </c>
      <c r="J1177" s="4"/>
      <c r="K1177" s="67" t="b">
        <v>1</v>
      </c>
      <c r="L1177" s="4"/>
      <c r="M1177" s="4"/>
      <c r="N1177" s="67" t="b">
        <v>1</v>
      </c>
      <c r="O1177" s="4"/>
      <c r="P1177" s="4"/>
      <c r="Q1177" s="67" t="b">
        <v>1</v>
      </c>
      <c r="R1177" s="4"/>
      <c r="S1177" s="8"/>
    </row>
    <row r="1178" spans="1:19" ht="14.5">
      <c r="A1178" s="4" t="s">
        <v>5</v>
      </c>
      <c r="B1178" s="4" t="s">
        <v>398</v>
      </c>
      <c r="C1178" s="4" t="s">
        <v>2659</v>
      </c>
      <c r="E1178" s="4" t="s">
        <v>2660</v>
      </c>
      <c r="F1178" s="53" t="s">
        <v>285</v>
      </c>
      <c r="G1178" s="43">
        <v>46092</v>
      </c>
      <c r="H1178" s="9" t="s">
        <v>956</v>
      </c>
      <c r="I1178" s="4" t="s">
        <v>459</v>
      </c>
      <c r="J1178" s="68" t="b">
        <v>1</v>
      </c>
      <c r="K1178" s="67" t="b">
        <v>1</v>
      </c>
      <c r="L1178" s="4"/>
      <c r="M1178" s="4"/>
      <c r="N1178" s="67" t="b">
        <v>1</v>
      </c>
      <c r="O1178" s="4"/>
      <c r="P1178" s="4"/>
      <c r="Q1178" s="67" t="b">
        <v>1</v>
      </c>
      <c r="R1178" s="4"/>
      <c r="S1178" s="8"/>
    </row>
    <row r="1179" spans="1:19" ht="12.5">
      <c r="A1179" s="4" t="s">
        <v>5</v>
      </c>
      <c r="B1179" s="4" t="s">
        <v>119</v>
      </c>
      <c r="E1179" s="4" t="s">
        <v>2661</v>
      </c>
      <c r="F1179" s="4" t="s">
        <v>52</v>
      </c>
      <c r="G1179" s="43">
        <v>46092</v>
      </c>
      <c r="H1179" s="9" t="s">
        <v>956</v>
      </c>
      <c r="I1179" s="4" t="s">
        <v>459</v>
      </c>
      <c r="J1179" s="4"/>
      <c r="K1179" s="67" t="b">
        <v>1</v>
      </c>
      <c r="L1179" s="4"/>
      <c r="M1179" s="4"/>
      <c r="N1179" s="67" t="b">
        <v>1</v>
      </c>
      <c r="O1179" s="4"/>
      <c r="P1179" s="4"/>
      <c r="Q1179" s="67" t="b">
        <v>1</v>
      </c>
      <c r="R1179" s="4"/>
      <c r="S1179" s="8"/>
    </row>
    <row r="1180" spans="1:19" ht="12.5">
      <c r="A1180" s="4" t="s">
        <v>5</v>
      </c>
      <c r="B1180" s="4" t="s">
        <v>398</v>
      </c>
      <c r="C1180" s="4" t="s">
        <v>2662</v>
      </c>
      <c r="E1180" s="4" t="s">
        <v>2663</v>
      </c>
      <c r="F1180" s="4" t="s">
        <v>328</v>
      </c>
      <c r="G1180" s="43">
        <v>46092</v>
      </c>
      <c r="H1180" s="9" t="s">
        <v>956</v>
      </c>
      <c r="I1180" s="4" t="s">
        <v>459</v>
      </c>
      <c r="J1180" s="4"/>
      <c r="K1180" s="67" t="b">
        <v>1</v>
      </c>
      <c r="L1180" s="4"/>
      <c r="M1180" s="4"/>
      <c r="N1180" s="67" t="b">
        <v>1</v>
      </c>
      <c r="O1180" s="4"/>
      <c r="P1180" s="4"/>
      <c r="Q1180" s="67" t="b">
        <v>1</v>
      </c>
      <c r="R1180" s="4"/>
      <c r="S1180" s="8"/>
    </row>
    <row r="1181" spans="1:19" ht="12.5">
      <c r="A1181" s="4" t="s">
        <v>240</v>
      </c>
      <c r="B1181" s="4" t="s">
        <v>119</v>
      </c>
      <c r="E1181" s="4" t="s">
        <v>2664</v>
      </c>
      <c r="F1181" s="4" t="s">
        <v>2665</v>
      </c>
      <c r="G1181" s="43">
        <v>46092</v>
      </c>
      <c r="H1181" s="9" t="s">
        <v>956</v>
      </c>
      <c r="I1181" s="4" t="s">
        <v>459</v>
      </c>
      <c r="J1181" s="68" t="b">
        <v>1</v>
      </c>
      <c r="K1181" s="67" t="b">
        <v>1</v>
      </c>
      <c r="L1181" s="4"/>
      <c r="M1181" s="4"/>
      <c r="N1181" s="67" t="b">
        <v>1</v>
      </c>
      <c r="O1181" s="4"/>
      <c r="P1181" s="4"/>
      <c r="Q1181" s="67" t="b">
        <v>1</v>
      </c>
      <c r="R1181" s="4"/>
      <c r="S1181" s="8"/>
    </row>
    <row r="1182" spans="1:19" ht="12.5">
      <c r="A1182" s="4" t="s">
        <v>5</v>
      </c>
      <c r="B1182" s="4" t="s">
        <v>398</v>
      </c>
      <c r="C1182" s="4" t="s">
        <v>2666</v>
      </c>
      <c r="E1182" s="4" t="s">
        <v>2667</v>
      </c>
      <c r="F1182" s="4" t="s">
        <v>2668</v>
      </c>
      <c r="G1182" s="43">
        <v>46092</v>
      </c>
      <c r="H1182" s="9" t="s">
        <v>956</v>
      </c>
      <c r="I1182" s="4" t="s">
        <v>459</v>
      </c>
      <c r="J1182" s="4"/>
      <c r="K1182" s="67" t="b">
        <v>1</v>
      </c>
      <c r="L1182" s="4"/>
      <c r="M1182" s="4"/>
      <c r="N1182" s="67" t="b">
        <v>1</v>
      </c>
      <c r="O1182" s="4"/>
      <c r="P1182" s="4"/>
      <c r="Q1182" s="67" t="b">
        <v>1</v>
      </c>
      <c r="R1182" s="4"/>
      <c r="S1182" s="8"/>
    </row>
    <row r="1183" spans="1:19" ht="12.5">
      <c r="A1183" s="4" t="s">
        <v>5</v>
      </c>
      <c r="B1183" s="4" t="s">
        <v>119</v>
      </c>
      <c r="C1183" s="4" t="s">
        <v>2669</v>
      </c>
      <c r="E1183" s="4" t="s">
        <v>2670</v>
      </c>
      <c r="F1183" s="4" t="s">
        <v>702</v>
      </c>
      <c r="G1183" s="43">
        <v>46092</v>
      </c>
      <c r="H1183" s="9" t="s">
        <v>956</v>
      </c>
      <c r="I1183" s="4" t="s">
        <v>459</v>
      </c>
      <c r="J1183" s="68" t="b">
        <v>1</v>
      </c>
      <c r="K1183" s="67" t="b">
        <v>1</v>
      </c>
      <c r="L1183" s="4"/>
      <c r="M1183" s="4"/>
      <c r="N1183" s="67" t="b">
        <v>1</v>
      </c>
      <c r="O1183" s="4"/>
      <c r="P1183" s="4"/>
      <c r="Q1183" s="67" t="b">
        <v>1</v>
      </c>
      <c r="R1183" s="4"/>
      <c r="S1183" s="8"/>
    </row>
    <row r="1184" spans="1:19" ht="12.5">
      <c r="B1184" s="4" t="s">
        <v>398</v>
      </c>
      <c r="E1184" s="4" t="s">
        <v>2671</v>
      </c>
      <c r="F1184" s="4" t="s">
        <v>2672</v>
      </c>
      <c r="G1184" s="43">
        <v>46092</v>
      </c>
      <c r="H1184" s="9" t="s">
        <v>956</v>
      </c>
      <c r="I1184" s="4" t="s">
        <v>459</v>
      </c>
      <c r="J1184" s="4"/>
      <c r="K1184" s="67" t="b">
        <v>1</v>
      </c>
      <c r="L1184" s="4"/>
      <c r="M1184" s="4"/>
      <c r="N1184" s="67" t="b">
        <v>1</v>
      </c>
      <c r="O1184" s="4"/>
      <c r="P1184" s="4"/>
      <c r="Q1184" s="67" t="b">
        <v>1</v>
      </c>
      <c r="R1184" s="4"/>
      <c r="S1184" s="8"/>
    </row>
    <row r="1185" spans="1:19" ht="14.5">
      <c r="B1185" s="4" t="s">
        <v>119</v>
      </c>
      <c r="E1185" s="4" t="s">
        <v>2673</v>
      </c>
      <c r="F1185" s="53" t="s">
        <v>285</v>
      </c>
      <c r="G1185" s="43">
        <v>46092</v>
      </c>
      <c r="H1185" s="9" t="s">
        <v>956</v>
      </c>
      <c r="I1185" s="4" t="s">
        <v>459</v>
      </c>
      <c r="J1185" s="4"/>
      <c r="K1185" s="67" t="b">
        <v>1</v>
      </c>
      <c r="L1185" s="4"/>
      <c r="M1185" s="4"/>
      <c r="N1185" s="67" t="b">
        <v>1</v>
      </c>
      <c r="O1185" s="4"/>
      <c r="P1185" s="4"/>
      <c r="Q1185" s="67" t="b">
        <v>1</v>
      </c>
      <c r="R1185" s="4"/>
      <c r="S1185" s="8"/>
    </row>
    <row r="1186" spans="1:19" ht="12.5">
      <c r="B1186" s="4" t="s">
        <v>398</v>
      </c>
      <c r="E1186" s="4" t="s">
        <v>2674</v>
      </c>
      <c r="F1186" s="4" t="s">
        <v>2672</v>
      </c>
      <c r="G1186" s="43">
        <v>46092</v>
      </c>
      <c r="H1186" s="9" t="s">
        <v>956</v>
      </c>
      <c r="I1186" s="4" t="s">
        <v>459</v>
      </c>
      <c r="J1186" s="4"/>
      <c r="K1186" s="67" t="b">
        <v>1</v>
      </c>
      <c r="L1186" s="4"/>
      <c r="M1186" s="4"/>
      <c r="N1186" s="67" t="b">
        <v>1</v>
      </c>
      <c r="O1186" s="4"/>
      <c r="P1186" s="4"/>
      <c r="Q1186" s="67" t="b">
        <v>1</v>
      </c>
      <c r="R1186" s="4"/>
      <c r="S1186" s="8"/>
    </row>
    <row r="1187" spans="1:19" ht="12.5">
      <c r="B1187" s="4" t="s">
        <v>119</v>
      </c>
      <c r="E1187" s="4" t="s">
        <v>2675</v>
      </c>
      <c r="F1187" s="4" t="s">
        <v>2672</v>
      </c>
      <c r="G1187" s="43">
        <v>46092</v>
      </c>
      <c r="H1187" s="9" t="s">
        <v>956</v>
      </c>
      <c r="I1187" s="4" t="s">
        <v>459</v>
      </c>
      <c r="J1187" s="4"/>
      <c r="K1187" s="67" t="b">
        <v>1</v>
      </c>
      <c r="L1187" s="4"/>
      <c r="M1187" s="4"/>
      <c r="N1187" s="67" t="b">
        <v>1</v>
      </c>
      <c r="O1187" s="4"/>
      <c r="P1187" s="4"/>
      <c r="Q1187" s="67" t="b">
        <v>1</v>
      </c>
      <c r="R1187" s="4"/>
      <c r="S1187" s="8"/>
    </row>
    <row r="1188" spans="1:19" ht="12.5">
      <c r="A1188" s="4" t="s">
        <v>5</v>
      </c>
      <c r="B1188" s="4" t="s">
        <v>398</v>
      </c>
      <c r="C1188" s="4" t="s">
        <v>2676</v>
      </c>
      <c r="D1188" s="4" t="s">
        <v>2677</v>
      </c>
      <c r="E1188" s="4">
        <v>56988677533</v>
      </c>
      <c r="F1188" s="4" t="s">
        <v>52</v>
      </c>
      <c r="G1188" s="43">
        <v>46092</v>
      </c>
      <c r="H1188" s="9" t="s">
        <v>856</v>
      </c>
      <c r="I1188" s="4" t="s">
        <v>459</v>
      </c>
      <c r="K1188" s="67" t="b">
        <v>1</v>
      </c>
      <c r="N1188" s="67" t="b">
        <v>1</v>
      </c>
      <c r="Q1188" s="67" t="b">
        <v>1</v>
      </c>
      <c r="S1188" s="8"/>
    </row>
    <row r="1189" spans="1:19" ht="12.5">
      <c r="B1189" s="4" t="s">
        <v>119</v>
      </c>
      <c r="E1189" s="4" t="s">
        <v>2678</v>
      </c>
      <c r="F1189" s="4" t="s">
        <v>702</v>
      </c>
      <c r="G1189" s="43">
        <v>46092</v>
      </c>
      <c r="H1189" s="9" t="s">
        <v>956</v>
      </c>
      <c r="I1189" s="4" t="s">
        <v>459</v>
      </c>
      <c r="J1189" s="4"/>
      <c r="K1189" s="67" t="b">
        <v>1</v>
      </c>
      <c r="L1189" s="4"/>
      <c r="M1189" s="4"/>
      <c r="N1189" s="67" t="b">
        <v>1</v>
      </c>
      <c r="O1189" s="4"/>
      <c r="P1189" s="4"/>
      <c r="Q1189" s="4"/>
      <c r="R1189" s="4"/>
      <c r="S1189" s="8"/>
    </row>
    <row r="1190" spans="1:19" ht="12.5">
      <c r="A1190" s="4" t="s">
        <v>5</v>
      </c>
      <c r="B1190" s="4" t="s">
        <v>398</v>
      </c>
      <c r="C1190" s="4" t="s">
        <v>2679</v>
      </c>
      <c r="D1190" s="4" t="s">
        <v>220</v>
      </c>
      <c r="E1190" s="4">
        <v>56951103760</v>
      </c>
      <c r="F1190" s="4" t="s">
        <v>343</v>
      </c>
      <c r="G1190" s="43">
        <v>46092</v>
      </c>
      <c r="H1190" s="9" t="s">
        <v>856</v>
      </c>
      <c r="I1190" s="4" t="s">
        <v>448</v>
      </c>
      <c r="K1190" s="67" t="b">
        <v>1</v>
      </c>
      <c r="N1190" s="67" t="b">
        <v>1</v>
      </c>
      <c r="S1190" s="8"/>
    </row>
    <row r="1191" spans="1:19" ht="12.5">
      <c r="B1191" s="4" t="s">
        <v>119</v>
      </c>
      <c r="E1191" s="4" t="s">
        <v>2680</v>
      </c>
      <c r="F1191" s="4" t="s">
        <v>2668</v>
      </c>
      <c r="G1191" s="43">
        <v>46092</v>
      </c>
      <c r="H1191" s="9" t="s">
        <v>956</v>
      </c>
      <c r="I1191" s="4" t="s">
        <v>459</v>
      </c>
      <c r="J1191" s="4"/>
      <c r="K1191" s="67" t="b">
        <v>1</v>
      </c>
      <c r="L1191" s="4"/>
      <c r="M1191" s="4"/>
      <c r="N1191" s="67" t="b">
        <v>1</v>
      </c>
      <c r="O1191" s="4"/>
      <c r="P1191" s="4"/>
      <c r="Q1191" s="4"/>
      <c r="R1191" s="4"/>
      <c r="S1191" s="8"/>
    </row>
    <row r="1192" spans="1:19" ht="12.5">
      <c r="A1192" s="4" t="s">
        <v>5</v>
      </c>
      <c r="B1192" s="4" t="s">
        <v>398</v>
      </c>
      <c r="C1192" s="4" t="s">
        <v>2681</v>
      </c>
      <c r="D1192" s="4" t="s">
        <v>2682</v>
      </c>
      <c r="E1192" s="4">
        <v>34616354508</v>
      </c>
      <c r="F1192" s="4" t="s">
        <v>172</v>
      </c>
      <c r="G1192" s="43">
        <v>46092</v>
      </c>
      <c r="H1192" s="9" t="s">
        <v>856</v>
      </c>
      <c r="I1192" s="4" t="s">
        <v>459</v>
      </c>
      <c r="K1192" s="67" t="b">
        <v>1</v>
      </c>
      <c r="N1192" s="67" t="b">
        <v>1</v>
      </c>
      <c r="Q1192" s="67" t="b">
        <v>1</v>
      </c>
      <c r="S1192" s="8"/>
    </row>
    <row r="1193" spans="1:19" ht="12.5">
      <c r="A1193" s="4" t="s">
        <v>5</v>
      </c>
      <c r="B1193" s="4" t="s">
        <v>119</v>
      </c>
      <c r="C1193" s="4" t="s">
        <v>2683</v>
      </c>
      <c r="D1193" s="4" t="s">
        <v>2684</v>
      </c>
      <c r="E1193" s="4">
        <v>17875392199</v>
      </c>
      <c r="F1193" s="4" t="s">
        <v>2685</v>
      </c>
      <c r="G1193" s="43">
        <v>46092</v>
      </c>
      <c r="H1193" s="9" t="s">
        <v>856</v>
      </c>
      <c r="I1193" s="4" t="s">
        <v>459</v>
      </c>
      <c r="K1193" s="67" t="b">
        <v>1</v>
      </c>
      <c r="N1193" s="67" t="b">
        <v>1</v>
      </c>
      <c r="S1193" s="8"/>
    </row>
    <row r="1194" spans="1:19" ht="12.5">
      <c r="A1194" s="4" t="s">
        <v>5</v>
      </c>
      <c r="B1194" s="4" t="s">
        <v>398</v>
      </c>
      <c r="C1194" s="4" t="s">
        <v>2686</v>
      </c>
      <c r="D1194" s="4" t="s">
        <v>2687</v>
      </c>
      <c r="E1194" s="4">
        <v>56987523031</v>
      </c>
      <c r="F1194" s="4" t="s">
        <v>1468</v>
      </c>
      <c r="G1194" s="43">
        <v>46093</v>
      </c>
      <c r="H1194" s="9" t="s">
        <v>856</v>
      </c>
      <c r="I1194" s="4" t="s">
        <v>459</v>
      </c>
      <c r="K1194" s="67" t="b">
        <v>1</v>
      </c>
      <c r="N1194" s="67" t="b">
        <v>1</v>
      </c>
      <c r="Q1194" s="67" t="b">
        <v>1</v>
      </c>
      <c r="S1194" s="8"/>
    </row>
    <row r="1195" spans="1:19" ht="12.5">
      <c r="A1195" s="4" t="s">
        <v>5</v>
      </c>
      <c r="B1195" s="4" t="s">
        <v>119</v>
      </c>
      <c r="C1195" s="4" t="s">
        <v>2688</v>
      </c>
      <c r="D1195" s="4" t="s">
        <v>2689</v>
      </c>
      <c r="E1195" s="4">
        <v>56995433532</v>
      </c>
      <c r="F1195" s="4" t="s">
        <v>454</v>
      </c>
      <c r="G1195" s="43">
        <v>46093</v>
      </c>
      <c r="H1195" s="9" t="s">
        <v>856</v>
      </c>
      <c r="I1195" s="4" t="s">
        <v>459</v>
      </c>
      <c r="J1195" s="68" t="b">
        <v>1</v>
      </c>
      <c r="K1195" s="67" t="b">
        <v>1</v>
      </c>
      <c r="N1195" s="67" t="b">
        <v>1</v>
      </c>
      <c r="S1195" s="8"/>
    </row>
    <row r="1196" spans="1:19" ht="12.5">
      <c r="A1196" s="4" t="s">
        <v>5</v>
      </c>
      <c r="B1196" s="4" t="s">
        <v>398</v>
      </c>
      <c r="E1196" s="4" t="s">
        <v>2690</v>
      </c>
      <c r="F1196" s="4" t="s">
        <v>702</v>
      </c>
      <c r="G1196" s="43">
        <v>46093</v>
      </c>
      <c r="H1196" s="9" t="s">
        <v>956</v>
      </c>
      <c r="I1196" s="4" t="s">
        <v>459</v>
      </c>
      <c r="J1196" s="4"/>
      <c r="K1196" s="67" t="b">
        <v>1</v>
      </c>
      <c r="L1196" s="4"/>
      <c r="M1196" s="4"/>
      <c r="N1196" s="67" t="b">
        <v>1</v>
      </c>
      <c r="O1196" s="4"/>
      <c r="P1196" s="4"/>
      <c r="Q1196" s="67" t="b">
        <v>1</v>
      </c>
      <c r="R1196" s="4"/>
      <c r="S1196" s="8"/>
    </row>
    <row r="1197" spans="1:19" ht="12.5">
      <c r="A1197" s="4" t="s">
        <v>5</v>
      </c>
      <c r="B1197" s="4" t="s">
        <v>119</v>
      </c>
      <c r="E1197" s="4" t="s">
        <v>2691</v>
      </c>
      <c r="F1197" s="4" t="s">
        <v>82</v>
      </c>
      <c r="G1197" s="43">
        <v>46093</v>
      </c>
      <c r="H1197" s="9" t="s">
        <v>956</v>
      </c>
      <c r="I1197" s="4" t="s">
        <v>459</v>
      </c>
      <c r="J1197" s="4"/>
      <c r="K1197" s="67" t="b">
        <v>1</v>
      </c>
      <c r="L1197" s="4"/>
      <c r="M1197" s="4"/>
      <c r="N1197" s="67" t="b">
        <v>1</v>
      </c>
      <c r="O1197" s="4"/>
      <c r="P1197" s="4"/>
      <c r="Q1197" s="4"/>
      <c r="R1197" s="4"/>
      <c r="S1197" s="8"/>
    </row>
    <row r="1198" spans="1:19" ht="12.5">
      <c r="A1198" s="4" t="s">
        <v>5</v>
      </c>
      <c r="B1198" s="4" t="s">
        <v>398</v>
      </c>
      <c r="C1198" s="4" t="s">
        <v>2692</v>
      </c>
      <c r="E1198" s="4" t="s">
        <v>2693</v>
      </c>
      <c r="F1198" s="4" t="s">
        <v>70</v>
      </c>
      <c r="G1198" s="43">
        <v>46093</v>
      </c>
      <c r="H1198" s="9" t="s">
        <v>956</v>
      </c>
      <c r="I1198" s="4" t="s">
        <v>459</v>
      </c>
      <c r="J1198" s="68" t="b">
        <v>1</v>
      </c>
      <c r="K1198" s="67" t="b">
        <v>1</v>
      </c>
      <c r="L1198" s="4"/>
      <c r="M1198" s="4"/>
      <c r="N1198" s="67" t="b">
        <v>1</v>
      </c>
      <c r="O1198" s="4"/>
      <c r="P1198" s="4"/>
      <c r="Q1198" s="67" t="b">
        <v>1</v>
      </c>
      <c r="R1198" s="4"/>
      <c r="S1198" s="8"/>
    </row>
    <row r="1199" spans="1:19" ht="12.5">
      <c r="A1199" s="4" t="s">
        <v>5</v>
      </c>
      <c r="B1199" s="4" t="s">
        <v>119</v>
      </c>
      <c r="E1199" s="4" t="s">
        <v>2694</v>
      </c>
      <c r="F1199" s="4" t="s">
        <v>343</v>
      </c>
      <c r="G1199" s="43">
        <v>46093</v>
      </c>
      <c r="H1199" s="9" t="s">
        <v>956</v>
      </c>
      <c r="I1199" s="4" t="s">
        <v>459</v>
      </c>
      <c r="J1199" s="4"/>
      <c r="K1199" s="67" t="b">
        <v>1</v>
      </c>
      <c r="L1199" s="4"/>
      <c r="M1199" s="4"/>
      <c r="N1199" s="67" t="b">
        <v>1</v>
      </c>
      <c r="O1199" s="4"/>
      <c r="P1199" s="4"/>
      <c r="Q1199" s="4"/>
      <c r="R1199" s="4"/>
      <c r="S1199" s="8"/>
    </row>
    <row r="1200" spans="1:19" ht="12.5">
      <c r="A1200" s="4" t="s">
        <v>5</v>
      </c>
      <c r="B1200" s="4" t="s">
        <v>398</v>
      </c>
      <c r="C1200" s="4" t="s">
        <v>2695</v>
      </c>
      <c r="E1200" s="4" t="s">
        <v>2696</v>
      </c>
      <c r="F1200" s="4" t="s">
        <v>2697</v>
      </c>
      <c r="G1200" s="43">
        <v>46093</v>
      </c>
      <c r="H1200" s="9" t="s">
        <v>956</v>
      </c>
      <c r="I1200" s="4" t="s">
        <v>459</v>
      </c>
      <c r="J1200" s="4"/>
      <c r="K1200" s="67" t="b">
        <v>1</v>
      </c>
      <c r="L1200" s="4"/>
      <c r="M1200" s="4"/>
      <c r="N1200" s="67" t="b">
        <v>1</v>
      </c>
      <c r="O1200" s="4"/>
      <c r="P1200" s="4"/>
      <c r="Q1200" s="67" t="b">
        <v>1</v>
      </c>
      <c r="R1200" s="4"/>
      <c r="S1200" s="8"/>
    </row>
    <row r="1201" spans="1:25" ht="12.5">
      <c r="A1201" s="4" t="s">
        <v>5</v>
      </c>
      <c r="B1201" s="4" t="s">
        <v>119</v>
      </c>
      <c r="C1201" s="4" t="s">
        <v>2698</v>
      </c>
      <c r="E1201" s="4" t="s">
        <v>2699</v>
      </c>
      <c r="F1201" s="4" t="s">
        <v>1468</v>
      </c>
      <c r="G1201" s="43">
        <v>46093</v>
      </c>
      <c r="H1201" s="9" t="s">
        <v>956</v>
      </c>
      <c r="I1201" s="4" t="s">
        <v>459</v>
      </c>
      <c r="J1201" s="4"/>
      <c r="K1201" s="67" t="b">
        <v>1</v>
      </c>
      <c r="L1201" s="4"/>
      <c r="M1201" s="4"/>
      <c r="N1201" s="67" t="b">
        <v>1</v>
      </c>
      <c r="O1201" s="4"/>
      <c r="P1201" s="4"/>
      <c r="Q1201" s="4"/>
      <c r="R1201" s="4"/>
      <c r="S1201" s="8"/>
    </row>
    <row r="1202" spans="1:25" ht="14.5">
      <c r="A1202" s="4" t="s">
        <v>5</v>
      </c>
      <c r="B1202" s="4" t="s">
        <v>398</v>
      </c>
      <c r="E1202" s="4" t="s">
        <v>2700</v>
      </c>
      <c r="F1202" s="53" t="s">
        <v>285</v>
      </c>
      <c r="G1202" s="43">
        <v>46093</v>
      </c>
      <c r="H1202" s="9" t="s">
        <v>956</v>
      </c>
      <c r="I1202" s="4" t="s">
        <v>459</v>
      </c>
      <c r="J1202" s="68" t="b">
        <v>1</v>
      </c>
      <c r="K1202" s="67" t="b">
        <v>1</v>
      </c>
      <c r="L1202" s="4"/>
      <c r="M1202" s="4"/>
      <c r="N1202" s="67" t="b">
        <v>1</v>
      </c>
      <c r="O1202" s="4"/>
      <c r="P1202" s="4"/>
      <c r="Q1202" s="67" t="b">
        <v>1</v>
      </c>
      <c r="R1202" s="4"/>
      <c r="S1202" s="8"/>
    </row>
    <row r="1203" spans="1:25" ht="14.5">
      <c r="A1203" s="4" t="s">
        <v>5</v>
      </c>
      <c r="B1203" s="4" t="s">
        <v>119</v>
      </c>
      <c r="C1203" s="4" t="s">
        <v>2701</v>
      </c>
      <c r="D1203" s="4" t="s">
        <v>347</v>
      </c>
      <c r="E1203" s="4">
        <v>18294229290</v>
      </c>
      <c r="F1203" s="53" t="s">
        <v>52</v>
      </c>
      <c r="G1203" s="43">
        <v>46093</v>
      </c>
      <c r="H1203" s="9" t="s">
        <v>856</v>
      </c>
      <c r="I1203" s="4" t="s">
        <v>448</v>
      </c>
      <c r="J1203" s="68" t="b">
        <v>1</v>
      </c>
      <c r="K1203" s="67" t="b">
        <v>1</v>
      </c>
      <c r="N1203" s="67" t="b">
        <v>1</v>
      </c>
      <c r="S1203" s="4" t="s">
        <v>119</v>
      </c>
      <c r="T1203" s="33">
        <v>46095</v>
      </c>
      <c r="U1203" s="6">
        <v>140</v>
      </c>
      <c r="V1203" s="4">
        <v>0</v>
      </c>
      <c r="W1203" s="4">
        <v>1</v>
      </c>
      <c r="X1203" s="8">
        <v>46023</v>
      </c>
    </row>
    <row r="1204" spans="1:25" ht="14.5">
      <c r="A1204" s="4" t="s">
        <v>5</v>
      </c>
      <c r="B1204" s="4" t="s">
        <v>398</v>
      </c>
      <c r="C1204" s="4" t="s">
        <v>2702</v>
      </c>
      <c r="D1204" s="4" t="s">
        <v>2703</v>
      </c>
      <c r="E1204" s="4">
        <v>3434606736386</v>
      </c>
      <c r="F1204" s="53" t="s">
        <v>319</v>
      </c>
      <c r="G1204" s="43">
        <v>46093</v>
      </c>
      <c r="H1204" s="9" t="s">
        <v>856</v>
      </c>
      <c r="I1204" s="4" t="s">
        <v>459</v>
      </c>
      <c r="K1204" s="67" t="b">
        <v>1</v>
      </c>
      <c r="N1204" s="67" t="b">
        <v>1</v>
      </c>
      <c r="Q1204" s="67" t="b">
        <v>1</v>
      </c>
      <c r="S1204" s="8"/>
    </row>
    <row r="1205" spans="1:25" ht="14.5">
      <c r="A1205" s="4" t="s">
        <v>5</v>
      </c>
      <c r="B1205" s="4" t="s">
        <v>119</v>
      </c>
      <c r="C1205" s="4" t="s">
        <v>2704</v>
      </c>
      <c r="D1205" s="4" t="s">
        <v>2705</v>
      </c>
      <c r="E1205" s="4">
        <v>5930998688123</v>
      </c>
      <c r="F1205" s="53" t="s">
        <v>2168</v>
      </c>
      <c r="G1205" s="43">
        <v>46093</v>
      </c>
      <c r="H1205" s="9" t="s">
        <v>856</v>
      </c>
      <c r="I1205" s="4" t="s">
        <v>459</v>
      </c>
      <c r="K1205" s="67" t="b">
        <v>1</v>
      </c>
      <c r="N1205" s="67" t="b">
        <v>1</v>
      </c>
      <c r="S1205" s="8"/>
    </row>
    <row r="1206" spans="1:25" ht="14.5">
      <c r="A1206" s="4" t="s">
        <v>5</v>
      </c>
      <c r="B1206" s="4" t="s">
        <v>398</v>
      </c>
      <c r="C1206" s="4" t="s">
        <v>2706</v>
      </c>
      <c r="D1206" s="4" t="s">
        <v>344</v>
      </c>
      <c r="E1206" s="4">
        <v>34633893723</v>
      </c>
      <c r="F1206" s="53" t="s">
        <v>343</v>
      </c>
      <c r="G1206" s="43">
        <v>46093</v>
      </c>
      <c r="H1206" s="9" t="s">
        <v>856</v>
      </c>
      <c r="I1206" s="4" t="s">
        <v>448</v>
      </c>
      <c r="K1206" s="67" t="b">
        <v>1</v>
      </c>
      <c r="N1206" s="67" t="b">
        <v>1</v>
      </c>
      <c r="S1206" s="4" t="s">
        <v>119</v>
      </c>
      <c r="T1206" s="33">
        <v>46094</v>
      </c>
      <c r="U1206" s="6">
        <v>113.75</v>
      </c>
      <c r="V1206" s="7">
        <v>0.5</v>
      </c>
      <c r="W1206" s="4">
        <v>2</v>
      </c>
      <c r="X1206" s="8">
        <v>46054</v>
      </c>
    </row>
    <row r="1207" spans="1:25" ht="14.5">
      <c r="A1207" s="4" t="s">
        <v>5</v>
      </c>
      <c r="B1207" s="4" t="s">
        <v>119</v>
      </c>
      <c r="C1207" s="4" t="s">
        <v>2707</v>
      </c>
      <c r="D1207" s="4" t="s">
        <v>2708</v>
      </c>
      <c r="E1207" s="4">
        <v>525951012641</v>
      </c>
      <c r="F1207" s="53" t="s">
        <v>354</v>
      </c>
      <c r="G1207" s="43">
        <v>46093</v>
      </c>
      <c r="H1207" s="9" t="s">
        <v>856</v>
      </c>
      <c r="I1207" s="4" t="s">
        <v>459</v>
      </c>
      <c r="K1207" s="67" t="b">
        <v>1</v>
      </c>
      <c r="N1207" s="67" t="b">
        <v>1</v>
      </c>
      <c r="S1207" s="8"/>
    </row>
    <row r="1208" spans="1:25" ht="14.5">
      <c r="A1208" s="4" t="s">
        <v>5</v>
      </c>
      <c r="B1208" s="4" t="s">
        <v>398</v>
      </c>
      <c r="C1208" s="4" t="s">
        <v>2709</v>
      </c>
      <c r="D1208" s="4" t="s">
        <v>2710</v>
      </c>
      <c r="E1208" s="4">
        <v>525526992515</v>
      </c>
      <c r="F1208" s="53" t="s">
        <v>319</v>
      </c>
      <c r="G1208" s="43">
        <v>46094</v>
      </c>
      <c r="H1208" s="9" t="s">
        <v>856</v>
      </c>
      <c r="I1208" s="4" t="s">
        <v>459</v>
      </c>
      <c r="K1208" s="67" t="b">
        <v>1</v>
      </c>
      <c r="N1208" s="67" t="b">
        <v>1</v>
      </c>
      <c r="S1208" s="8"/>
    </row>
    <row r="1209" spans="1:25" ht="14.5">
      <c r="A1209" s="4" t="s">
        <v>5</v>
      </c>
      <c r="B1209" s="4" t="s">
        <v>119</v>
      </c>
      <c r="C1209" s="4" t="s">
        <v>2711</v>
      </c>
      <c r="D1209" s="4" t="s">
        <v>2712</v>
      </c>
      <c r="E1209" s="4">
        <v>523311047272</v>
      </c>
      <c r="F1209" s="53" t="s">
        <v>2713</v>
      </c>
      <c r="G1209" s="43">
        <v>46094</v>
      </c>
      <c r="H1209" s="9" t="s">
        <v>856</v>
      </c>
      <c r="I1209" s="4" t="s">
        <v>459</v>
      </c>
      <c r="K1209" s="67" t="b">
        <v>1</v>
      </c>
      <c r="N1209" s="67" t="b">
        <v>1</v>
      </c>
      <c r="S1209" s="8"/>
    </row>
    <row r="1210" spans="1:25" ht="14">
      <c r="A1210" s="4" t="s">
        <v>5</v>
      </c>
      <c r="B1210" s="4" t="s">
        <v>398</v>
      </c>
      <c r="C1210" s="51" t="s">
        <v>345</v>
      </c>
      <c r="D1210" s="4" t="s">
        <v>346</v>
      </c>
      <c r="F1210" s="4" t="s">
        <v>27</v>
      </c>
      <c r="G1210" s="43">
        <v>46094</v>
      </c>
      <c r="H1210" s="9" t="s">
        <v>956</v>
      </c>
      <c r="I1210" s="4" t="s">
        <v>448</v>
      </c>
      <c r="J1210" s="30"/>
      <c r="K1210" s="67" t="b">
        <v>1</v>
      </c>
      <c r="L1210" s="8"/>
      <c r="M1210" s="4"/>
      <c r="N1210" s="67" t="b">
        <v>1</v>
      </c>
      <c r="O1210" s="4"/>
      <c r="P1210" s="4"/>
      <c r="Q1210" s="4"/>
      <c r="R1210" s="4"/>
      <c r="S1210" s="4" t="s">
        <v>119</v>
      </c>
      <c r="T1210" s="33">
        <v>46094</v>
      </c>
      <c r="U1210" s="28">
        <v>122.5</v>
      </c>
      <c r="V1210" s="30">
        <v>0.3</v>
      </c>
      <c r="W1210" s="29">
        <v>2</v>
      </c>
      <c r="X1210" s="31">
        <v>46054</v>
      </c>
      <c r="Y1210" s="31"/>
    </row>
    <row r="1211" spans="1:25" ht="12.5">
      <c r="A1211" s="4" t="s">
        <v>5</v>
      </c>
      <c r="B1211" s="4" t="s">
        <v>119</v>
      </c>
      <c r="E1211" s="4" t="s">
        <v>2714</v>
      </c>
      <c r="F1211" s="4" t="s">
        <v>702</v>
      </c>
      <c r="G1211" s="43">
        <v>46094</v>
      </c>
      <c r="H1211" s="9" t="s">
        <v>956</v>
      </c>
      <c r="I1211" s="4" t="s">
        <v>459</v>
      </c>
      <c r="J1211" s="4"/>
      <c r="K1211" s="67" t="b">
        <v>1</v>
      </c>
      <c r="L1211" s="4"/>
      <c r="M1211" s="4"/>
      <c r="N1211" s="67" t="b">
        <v>1</v>
      </c>
      <c r="O1211" s="4"/>
      <c r="P1211" s="4"/>
      <c r="Q1211" s="4"/>
      <c r="R1211" s="4"/>
      <c r="S1211" s="8"/>
    </row>
    <row r="1212" spans="1:25" ht="14.5">
      <c r="A1212" s="4" t="s">
        <v>5</v>
      </c>
      <c r="B1212" s="4" t="s">
        <v>398</v>
      </c>
      <c r="E1212" s="4" t="s">
        <v>2715</v>
      </c>
      <c r="F1212" s="53" t="s">
        <v>319</v>
      </c>
      <c r="G1212" s="43">
        <v>46094</v>
      </c>
      <c r="H1212" s="9" t="s">
        <v>956</v>
      </c>
      <c r="I1212" s="4" t="s">
        <v>459</v>
      </c>
      <c r="J1212" s="4"/>
      <c r="K1212" s="67" t="b">
        <v>1</v>
      </c>
      <c r="L1212" s="4"/>
      <c r="M1212" s="4"/>
      <c r="N1212" s="67" t="b">
        <v>1</v>
      </c>
      <c r="O1212" s="4"/>
      <c r="P1212" s="4"/>
      <c r="Q1212" s="4"/>
      <c r="R1212" s="4"/>
      <c r="S1212" s="8"/>
    </row>
    <row r="1213" spans="1:25" ht="14.5">
      <c r="A1213" s="4" t="s">
        <v>5</v>
      </c>
      <c r="B1213" s="4" t="s">
        <v>119</v>
      </c>
      <c r="E1213" s="4" t="s">
        <v>2716</v>
      </c>
      <c r="F1213" s="53" t="s">
        <v>354</v>
      </c>
      <c r="G1213" s="43">
        <v>46094</v>
      </c>
      <c r="H1213" s="9" t="s">
        <v>956</v>
      </c>
      <c r="I1213" s="4" t="s">
        <v>459</v>
      </c>
      <c r="J1213" s="4"/>
      <c r="K1213" s="67" t="b">
        <v>1</v>
      </c>
      <c r="L1213" s="4"/>
      <c r="M1213" s="4"/>
      <c r="N1213" s="67" t="b">
        <v>1</v>
      </c>
      <c r="O1213" s="4"/>
      <c r="P1213" s="4"/>
      <c r="Q1213" s="4"/>
      <c r="R1213" s="4"/>
      <c r="S1213" s="8"/>
    </row>
    <row r="1214" spans="1:25" ht="14.5">
      <c r="A1214" s="4" t="s">
        <v>5</v>
      </c>
      <c r="B1214" s="4" t="s">
        <v>398</v>
      </c>
      <c r="C1214" s="4" t="s">
        <v>301</v>
      </c>
      <c r="E1214" s="4" t="s">
        <v>2717</v>
      </c>
      <c r="F1214" s="53" t="s">
        <v>354</v>
      </c>
      <c r="G1214" s="43">
        <v>46094</v>
      </c>
      <c r="H1214" s="9" t="s">
        <v>956</v>
      </c>
      <c r="I1214" s="4" t="s">
        <v>459</v>
      </c>
      <c r="J1214" s="4"/>
      <c r="K1214" s="67" t="b">
        <v>1</v>
      </c>
      <c r="L1214" s="4"/>
      <c r="M1214" s="4"/>
      <c r="N1214" s="67" t="b">
        <v>1</v>
      </c>
      <c r="O1214" s="4"/>
      <c r="P1214" s="4"/>
      <c r="Q1214" s="4"/>
      <c r="R1214" s="4"/>
      <c r="S1214" s="8"/>
    </row>
    <row r="1215" spans="1:25" ht="12.5">
      <c r="A1215" s="4" t="s">
        <v>5</v>
      </c>
      <c r="B1215" s="4" t="s">
        <v>119</v>
      </c>
      <c r="C1215" s="4" t="s">
        <v>2718</v>
      </c>
      <c r="E1215" s="4" t="s">
        <v>2719</v>
      </c>
      <c r="F1215" s="4" t="s">
        <v>27</v>
      </c>
      <c r="G1215" s="43">
        <v>46094</v>
      </c>
      <c r="H1215" s="9" t="s">
        <v>956</v>
      </c>
      <c r="I1215" s="4" t="s">
        <v>459</v>
      </c>
      <c r="J1215" s="4"/>
      <c r="K1215" s="67" t="b">
        <v>1</v>
      </c>
      <c r="L1215" s="4"/>
      <c r="M1215" s="4"/>
      <c r="N1215" s="67" t="b">
        <v>1</v>
      </c>
      <c r="O1215" s="4"/>
      <c r="P1215" s="4"/>
      <c r="Q1215" s="4"/>
      <c r="R1215" s="4"/>
      <c r="S1215" s="8"/>
    </row>
    <row r="1216" spans="1:25" ht="12.5">
      <c r="A1216" s="4" t="s">
        <v>5</v>
      </c>
      <c r="B1216" s="4" t="s">
        <v>398</v>
      </c>
      <c r="E1216" s="4" t="s">
        <v>2720</v>
      </c>
      <c r="F1216" s="4" t="s">
        <v>82</v>
      </c>
      <c r="G1216" s="43">
        <v>46094</v>
      </c>
      <c r="H1216" s="9" t="s">
        <v>956</v>
      </c>
      <c r="I1216" s="4" t="s">
        <v>459</v>
      </c>
      <c r="J1216" s="4"/>
      <c r="K1216" s="67" t="b">
        <v>1</v>
      </c>
      <c r="L1216" s="4"/>
      <c r="M1216" s="4"/>
      <c r="N1216" s="67" t="b">
        <v>1</v>
      </c>
      <c r="O1216" s="4"/>
      <c r="P1216" s="4"/>
      <c r="Q1216" s="4"/>
      <c r="R1216" s="4"/>
      <c r="S1216" s="8"/>
    </row>
    <row r="1217" spans="1:25" ht="12.5">
      <c r="A1217" s="4" t="s">
        <v>5</v>
      </c>
      <c r="B1217" s="4" t="s">
        <v>119</v>
      </c>
      <c r="C1217" s="4" t="s">
        <v>2721</v>
      </c>
      <c r="D1217" s="4" t="s">
        <v>2722</v>
      </c>
      <c r="E1217" s="4">
        <v>34655446915</v>
      </c>
      <c r="F1217" s="4" t="s">
        <v>388</v>
      </c>
      <c r="G1217" s="32">
        <v>46094</v>
      </c>
      <c r="H1217" s="4" t="s">
        <v>856</v>
      </c>
      <c r="I1217" s="4" t="s">
        <v>459</v>
      </c>
      <c r="K1217" s="67" t="b">
        <v>1</v>
      </c>
      <c r="N1217" s="67" t="b">
        <v>1</v>
      </c>
      <c r="S1217" s="8"/>
    </row>
    <row r="1218" spans="1:25" ht="12.5">
      <c r="A1218" s="4" t="s">
        <v>5</v>
      </c>
      <c r="B1218" s="4" t="s">
        <v>398</v>
      </c>
      <c r="C1218" s="4" t="s">
        <v>2723</v>
      </c>
      <c r="D1218" s="4" t="s">
        <v>2724</v>
      </c>
      <c r="E1218" s="4">
        <v>18296681561</v>
      </c>
      <c r="F1218" s="4" t="s">
        <v>343</v>
      </c>
      <c r="G1218" s="32">
        <v>46094</v>
      </c>
      <c r="H1218" s="4" t="s">
        <v>856</v>
      </c>
      <c r="I1218" s="4" t="s">
        <v>459</v>
      </c>
      <c r="K1218" s="67" t="b">
        <v>1</v>
      </c>
      <c r="N1218" s="67" t="b">
        <v>1</v>
      </c>
      <c r="S1218" s="8"/>
    </row>
    <row r="1219" spans="1:25" ht="12.5">
      <c r="A1219" s="4" t="s">
        <v>5</v>
      </c>
      <c r="B1219" s="4" t="s">
        <v>119</v>
      </c>
      <c r="C1219" s="4" t="s">
        <v>2725</v>
      </c>
      <c r="D1219" s="4" t="s">
        <v>2726</v>
      </c>
      <c r="E1219" s="4">
        <v>4915151533775</v>
      </c>
      <c r="F1219" s="4" t="s">
        <v>2727</v>
      </c>
      <c r="G1219" s="32">
        <v>46094</v>
      </c>
      <c r="H1219" s="4" t="s">
        <v>856</v>
      </c>
      <c r="I1219" s="4" t="s">
        <v>459</v>
      </c>
      <c r="K1219" s="67" t="b">
        <v>0</v>
      </c>
      <c r="N1219" s="67" t="b">
        <v>1</v>
      </c>
      <c r="S1219" s="8"/>
    </row>
    <row r="1220" spans="1:25" ht="12.5">
      <c r="A1220" s="4" t="s">
        <v>5</v>
      </c>
      <c r="B1220" s="4" t="s">
        <v>398</v>
      </c>
      <c r="C1220" s="4" t="s">
        <v>2725</v>
      </c>
      <c r="D1220" s="4" t="s">
        <v>2726</v>
      </c>
      <c r="E1220" s="4">
        <v>4915151533775</v>
      </c>
      <c r="F1220" s="4" t="s">
        <v>1038</v>
      </c>
      <c r="G1220" s="32">
        <v>46094</v>
      </c>
      <c r="H1220" s="4" t="s">
        <v>856</v>
      </c>
      <c r="I1220" s="4" t="s">
        <v>459</v>
      </c>
      <c r="K1220" s="67" t="b">
        <v>0</v>
      </c>
      <c r="N1220" s="67" t="b">
        <v>1</v>
      </c>
      <c r="S1220" s="8"/>
    </row>
    <row r="1221" spans="1:25" ht="12.5">
      <c r="A1221" s="4" t="s">
        <v>5</v>
      </c>
      <c r="B1221" s="4" t="s">
        <v>119</v>
      </c>
      <c r="C1221" s="4" t="s">
        <v>2728</v>
      </c>
      <c r="D1221" s="4" t="s">
        <v>2729</v>
      </c>
      <c r="E1221" s="4">
        <v>15518283616</v>
      </c>
      <c r="F1221" s="4" t="s">
        <v>1233</v>
      </c>
      <c r="G1221" s="32">
        <v>46096</v>
      </c>
      <c r="H1221" s="4" t="s">
        <v>856</v>
      </c>
      <c r="I1221" s="4" t="s">
        <v>459</v>
      </c>
      <c r="J1221" s="68"/>
      <c r="K1221" s="67" t="b">
        <v>1</v>
      </c>
      <c r="L1221" s="68" t="b">
        <v>1</v>
      </c>
      <c r="N1221" s="67" t="b">
        <v>1</v>
      </c>
      <c r="S1221" s="8"/>
    </row>
    <row r="1222" spans="1:25" ht="12.5">
      <c r="A1222" s="4" t="s">
        <v>5</v>
      </c>
      <c r="B1222" s="4" t="s">
        <v>398</v>
      </c>
      <c r="C1222" s="4" t="s">
        <v>2730</v>
      </c>
      <c r="D1222" s="4" t="s">
        <v>2731</v>
      </c>
      <c r="E1222" s="4">
        <v>34663912856</v>
      </c>
      <c r="F1222" s="4" t="s">
        <v>403</v>
      </c>
      <c r="G1222" s="32">
        <v>46096</v>
      </c>
      <c r="H1222" s="4" t="s">
        <v>856</v>
      </c>
      <c r="I1222" s="4" t="s">
        <v>459</v>
      </c>
      <c r="K1222" s="67" t="b">
        <v>1</v>
      </c>
      <c r="N1222" s="67" t="b">
        <v>1</v>
      </c>
      <c r="S1222" s="8"/>
    </row>
    <row r="1223" spans="1:25" ht="12.5">
      <c r="A1223" s="4" t="s">
        <v>5</v>
      </c>
      <c r="B1223" s="4" t="s">
        <v>119</v>
      </c>
      <c r="C1223" s="4" t="s">
        <v>2732</v>
      </c>
      <c r="D1223" s="4" t="s">
        <v>2733</v>
      </c>
      <c r="E1223" s="4">
        <v>5731330755420</v>
      </c>
      <c r="F1223" s="4" t="s">
        <v>1823</v>
      </c>
      <c r="G1223" s="32">
        <v>46096</v>
      </c>
      <c r="H1223" s="4" t="s">
        <v>856</v>
      </c>
      <c r="I1223" s="4" t="s">
        <v>459</v>
      </c>
      <c r="K1223" s="67" t="b">
        <v>0</v>
      </c>
      <c r="N1223" s="67" t="b">
        <v>1</v>
      </c>
      <c r="S1223" s="8"/>
    </row>
    <row r="1224" spans="1:25" ht="12.5">
      <c r="A1224" s="4" t="s">
        <v>381</v>
      </c>
      <c r="B1224" s="4" t="s">
        <v>398</v>
      </c>
      <c r="C1224" s="4" t="s">
        <v>2734</v>
      </c>
      <c r="D1224" s="4" t="s">
        <v>2735</v>
      </c>
      <c r="E1224" s="4">
        <v>543512025326</v>
      </c>
      <c r="F1224" s="4" t="s">
        <v>2736</v>
      </c>
      <c r="G1224" s="32">
        <v>46097</v>
      </c>
      <c r="H1224" s="4" t="s">
        <v>856</v>
      </c>
      <c r="I1224" s="4" t="s">
        <v>459</v>
      </c>
      <c r="K1224" s="67" t="b">
        <v>1</v>
      </c>
      <c r="N1224" s="67" t="b">
        <v>1</v>
      </c>
      <c r="S1224" s="8"/>
    </row>
    <row r="1225" spans="1:25" ht="12.5">
      <c r="A1225" s="4" t="s">
        <v>381</v>
      </c>
      <c r="B1225" s="4" t="s">
        <v>119</v>
      </c>
      <c r="E1225" s="4" t="s">
        <v>2737</v>
      </c>
      <c r="G1225" s="43">
        <v>46097</v>
      </c>
      <c r="H1225" s="9" t="s">
        <v>956</v>
      </c>
      <c r="I1225" s="4" t="s">
        <v>459</v>
      </c>
      <c r="J1225" s="4"/>
      <c r="K1225" s="67" t="b">
        <v>1</v>
      </c>
      <c r="L1225" s="4"/>
      <c r="M1225" s="4"/>
      <c r="N1225" s="67" t="b">
        <v>1</v>
      </c>
      <c r="O1225" s="4"/>
      <c r="P1225" s="4"/>
      <c r="Q1225" s="4"/>
      <c r="R1225" s="4"/>
      <c r="S1225" s="8"/>
    </row>
    <row r="1226" spans="1:25" ht="12.5">
      <c r="A1226" s="4" t="s">
        <v>240</v>
      </c>
      <c r="B1226" s="4" t="s">
        <v>398</v>
      </c>
      <c r="E1226" s="4" t="s">
        <v>2738</v>
      </c>
      <c r="F1226" s="4" t="s">
        <v>2739</v>
      </c>
      <c r="G1226" s="43">
        <v>46097</v>
      </c>
      <c r="H1226" s="9" t="s">
        <v>956</v>
      </c>
      <c r="I1226" s="4" t="s">
        <v>459</v>
      </c>
      <c r="J1226" s="68" t="b">
        <v>1</v>
      </c>
      <c r="K1226" s="67" t="b">
        <v>1</v>
      </c>
      <c r="L1226" s="68" t="b">
        <v>1</v>
      </c>
      <c r="M1226" s="4"/>
      <c r="N1226" s="67" t="b">
        <v>1</v>
      </c>
      <c r="O1226" s="4"/>
      <c r="P1226" s="4"/>
      <c r="Q1226" s="4"/>
      <c r="R1226" s="4"/>
      <c r="S1226" s="8"/>
    </row>
    <row r="1227" spans="1:25" ht="12.5">
      <c r="A1227" s="4" t="s">
        <v>5</v>
      </c>
      <c r="B1227" s="4" t="s">
        <v>119</v>
      </c>
      <c r="E1227" s="4" t="s">
        <v>2740</v>
      </c>
      <c r="F1227" s="4" t="s">
        <v>1265</v>
      </c>
      <c r="G1227" s="43">
        <v>46097</v>
      </c>
      <c r="H1227" s="9" t="s">
        <v>956</v>
      </c>
      <c r="I1227" s="4" t="s">
        <v>459</v>
      </c>
      <c r="J1227" s="4"/>
      <c r="K1227" s="67" t="b">
        <v>1</v>
      </c>
      <c r="L1227" s="4"/>
      <c r="M1227" s="4"/>
      <c r="N1227" s="67" t="b">
        <v>1</v>
      </c>
      <c r="O1227" s="4"/>
      <c r="P1227" s="4"/>
      <c r="Q1227" s="4"/>
      <c r="R1227" s="4"/>
      <c r="S1227" s="8"/>
    </row>
    <row r="1228" spans="1:25" ht="14.5">
      <c r="A1228" s="4" t="s">
        <v>5</v>
      </c>
      <c r="B1228" s="4" t="s">
        <v>398</v>
      </c>
      <c r="E1228" s="4" t="s">
        <v>353</v>
      </c>
      <c r="F1228" s="53" t="s">
        <v>354</v>
      </c>
      <c r="G1228" s="43">
        <v>46097</v>
      </c>
      <c r="H1228" s="9" t="s">
        <v>956</v>
      </c>
      <c r="I1228" s="4" t="s">
        <v>459</v>
      </c>
      <c r="J1228" s="4"/>
      <c r="K1228" s="67" t="b">
        <v>1</v>
      </c>
      <c r="L1228" s="4"/>
      <c r="M1228" s="4"/>
      <c r="N1228" s="67" t="b">
        <v>1</v>
      </c>
      <c r="O1228" s="4"/>
      <c r="P1228" s="4"/>
      <c r="Q1228" s="4"/>
      <c r="R1228" s="4"/>
      <c r="S1228" s="8"/>
    </row>
    <row r="1229" spans="1:25" ht="12.5">
      <c r="A1229" s="4" t="s">
        <v>5</v>
      </c>
      <c r="B1229" s="4" t="s">
        <v>119</v>
      </c>
      <c r="E1229" s="4" t="s">
        <v>2741</v>
      </c>
      <c r="G1229" s="43">
        <v>46097</v>
      </c>
      <c r="H1229" s="9" t="s">
        <v>956</v>
      </c>
      <c r="I1229" s="4" t="s">
        <v>459</v>
      </c>
      <c r="J1229" s="4"/>
      <c r="K1229" s="67" t="b">
        <v>1</v>
      </c>
      <c r="L1229" s="4"/>
      <c r="M1229" s="4"/>
      <c r="N1229" s="67" t="b">
        <v>1</v>
      </c>
      <c r="O1229" s="4"/>
      <c r="P1229" s="4"/>
      <c r="Q1229" s="4"/>
      <c r="R1229" s="4"/>
      <c r="S1229" s="8"/>
    </row>
    <row r="1230" spans="1:25" ht="12.5">
      <c r="A1230" s="4" t="s">
        <v>5</v>
      </c>
      <c r="B1230" s="4" t="s">
        <v>398</v>
      </c>
      <c r="E1230" s="4" t="s">
        <v>2742</v>
      </c>
      <c r="F1230" s="4" t="s">
        <v>284</v>
      </c>
      <c r="G1230" s="43">
        <v>46097</v>
      </c>
      <c r="H1230" s="9" t="s">
        <v>956</v>
      </c>
      <c r="I1230" s="4" t="s">
        <v>459</v>
      </c>
      <c r="J1230" s="68" t="b">
        <v>1</v>
      </c>
      <c r="K1230" s="67" t="b">
        <v>1</v>
      </c>
      <c r="L1230" s="4"/>
      <c r="M1230" s="4"/>
      <c r="N1230" s="67" t="b">
        <v>1</v>
      </c>
      <c r="O1230" s="4"/>
      <c r="P1230" s="4"/>
      <c r="Q1230" s="4"/>
      <c r="R1230" s="4"/>
      <c r="S1230" s="8"/>
    </row>
    <row r="1231" spans="1:25" ht="14.5">
      <c r="A1231" s="9" t="s">
        <v>5</v>
      </c>
      <c r="B1231" s="4" t="s">
        <v>119</v>
      </c>
      <c r="C1231" s="9" t="s">
        <v>2743</v>
      </c>
      <c r="D1231" s="9"/>
      <c r="E1231" s="9" t="s">
        <v>2744</v>
      </c>
      <c r="F1231" s="96" t="s">
        <v>354</v>
      </c>
      <c r="G1231" s="43">
        <v>46097</v>
      </c>
      <c r="H1231" s="9" t="s">
        <v>956</v>
      </c>
      <c r="I1231" s="4" t="s">
        <v>459</v>
      </c>
      <c r="J1231" s="4"/>
      <c r="K1231" s="67" t="b">
        <v>1</v>
      </c>
      <c r="L1231" s="4"/>
      <c r="M1231" s="4"/>
      <c r="N1231" s="67" t="b">
        <v>1</v>
      </c>
      <c r="O1231" s="4"/>
      <c r="P1231" s="4"/>
      <c r="Q1231" s="4"/>
      <c r="R1231" s="4"/>
      <c r="S1231" s="8"/>
    </row>
    <row r="1232" spans="1:25" ht="14">
      <c r="A1232" s="4" t="s">
        <v>5</v>
      </c>
      <c r="B1232" s="4" t="s">
        <v>398</v>
      </c>
      <c r="C1232" s="46" t="s">
        <v>351</v>
      </c>
      <c r="D1232" s="46" t="s">
        <v>352</v>
      </c>
      <c r="E1232" s="4" t="s">
        <v>353</v>
      </c>
      <c r="F1232" s="46" t="s">
        <v>354</v>
      </c>
      <c r="G1232" s="43">
        <v>46097</v>
      </c>
      <c r="H1232" s="9" t="s">
        <v>956</v>
      </c>
      <c r="I1232" s="4" t="s">
        <v>448</v>
      </c>
      <c r="J1232" s="4"/>
      <c r="K1232" s="67" t="b">
        <v>1</v>
      </c>
      <c r="L1232" s="4"/>
      <c r="M1232" s="4"/>
      <c r="N1232" s="67" t="b">
        <v>1</v>
      </c>
      <c r="O1232" s="4"/>
      <c r="P1232" s="4"/>
      <c r="Q1232" s="4"/>
      <c r="R1232" s="4"/>
      <c r="S1232" s="4" t="s">
        <v>119</v>
      </c>
      <c r="T1232" s="33">
        <v>46099</v>
      </c>
      <c r="U1232" s="6">
        <v>300</v>
      </c>
      <c r="V1232" s="6">
        <v>0</v>
      </c>
      <c r="W1232" s="4">
        <v>6</v>
      </c>
      <c r="X1232" s="4" t="s">
        <v>355</v>
      </c>
      <c r="Y1232" s="22"/>
    </row>
    <row r="1233" spans="1:24" ht="12.5">
      <c r="A1233" s="4" t="s">
        <v>5</v>
      </c>
      <c r="B1233" s="4" t="s">
        <v>119</v>
      </c>
      <c r="C1233" s="4" t="s">
        <v>2745</v>
      </c>
      <c r="D1233" s="4" t="s">
        <v>2746</v>
      </c>
      <c r="E1233" s="4">
        <v>34625429645</v>
      </c>
      <c r="F1233" s="4" t="s">
        <v>2238</v>
      </c>
      <c r="G1233" s="43">
        <v>46097</v>
      </c>
      <c r="H1233" s="9" t="s">
        <v>856</v>
      </c>
      <c r="I1233" s="4" t="s">
        <v>459</v>
      </c>
      <c r="K1233" s="67" t="b">
        <v>1</v>
      </c>
      <c r="N1233" s="67" t="b">
        <v>1</v>
      </c>
      <c r="S1233" s="8"/>
    </row>
    <row r="1234" spans="1:24" ht="12.5">
      <c r="A1234" s="4" t="s">
        <v>381</v>
      </c>
      <c r="B1234" s="4" t="s">
        <v>398</v>
      </c>
      <c r="C1234" s="4" t="s">
        <v>2747</v>
      </c>
      <c r="D1234" s="4" t="s">
        <v>2748</v>
      </c>
      <c r="E1234" s="4">
        <v>373233970722</v>
      </c>
      <c r="F1234" s="4" t="s">
        <v>2355</v>
      </c>
      <c r="G1234" s="43">
        <v>46097</v>
      </c>
      <c r="H1234" s="9" t="s">
        <v>856</v>
      </c>
      <c r="I1234" s="4" t="s">
        <v>459</v>
      </c>
      <c r="K1234" s="67" t="b">
        <v>1</v>
      </c>
      <c r="N1234" s="67" t="b">
        <v>1</v>
      </c>
      <c r="S1234" s="8"/>
    </row>
    <row r="1235" spans="1:24" ht="12.5">
      <c r="A1235" s="4" t="s">
        <v>5</v>
      </c>
      <c r="B1235" s="4" t="s">
        <v>119</v>
      </c>
      <c r="C1235" s="4" t="s">
        <v>2749</v>
      </c>
      <c r="D1235" s="4" t="s">
        <v>2750</v>
      </c>
      <c r="E1235" s="4">
        <v>34676837737</v>
      </c>
      <c r="F1235" s="4" t="s">
        <v>393</v>
      </c>
      <c r="G1235" s="43">
        <v>46097</v>
      </c>
      <c r="H1235" s="9" t="s">
        <v>856</v>
      </c>
      <c r="I1235" s="4" t="s">
        <v>459</v>
      </c>
      <c r="K1235" s="67" t="b">
        <v>1</v>
      </c>
      <c r="N1235" s="67" t="b">
        <v>1</v>
      </c>
      <c r="S1235" s="8"/>
    </row>
    <row r="1236" spans="1:24" ht="20">
      <c r="A1236" s="4" t="s">
        <v>240</v>
      </c>
      <c r="B1236" s="4" t="s">
        <v>398</v>
      </c>
      <c r="C1236" s="4" t="s">
        <v>348</v>
      </c>
      <c r="D1236" s="4" t="s">
        <v>349</v>
      </c>
      <c r="F1236" s="54" t="s">
        <v>350</v>
      </c>
      <c r="G1236" s="43">
        <v>46098</v>
      </c>
      <c r="I1236" s="4" t="s">
        <v>448</v>
      </c>
      <c r="J1236" s="4"/>
      <c r="K1236" s="67" t="b">
        <v>0</v>
      </c>
      <c r="L1236" s="4"/>
      <c r="M1236" s="4"/>
      <c r="N1236" s="67" t="b">
        <v>1</v>
      </c>
      <c r="O1236" s="4"/>
      <c r="P1236" s="4"/>
      <c r="Q1236" s="4"/>
      <c r="R1236" s="4"/>
      <c r="S1236" s="4" t="s">
        <v>34</v>
      </c>
      <c r="T1236" s="33">
        <v>46098</v>
      </c>
      <c r="U1236" s="6">
        <v>222</v>
      </c>
      <c r="V1236" s="4">
        <v>0</v>
      </c>
      <c r="W1236" s="4">
        <v>1</v>
      </c>
      <c r="X1236" s="8">
        <v>46023</v>
      </c>
    </row>
    <row r="1237" spans="1:24" ht="14.5">
      <c r="A1237" s="4" t="s">
        <v>5</v>
      </c>
      <c r="B1237" s="4" t="s">
        <v>119</v>
      </c>
      <c r="C1237" s="4" t="s">
        <v>2751</v>
      </c>
      <c r="D1237" s="4" t="s">
        <v>2752</v>
      </c>
      <c r="E1237" s="4">
        <v>34689745438</v>
      </c>
      <c r="F1237" s="53" t="s">
        <v>2238</v>
      </c>
      <c r="G1237" s="32">
        <v>46097</v>
      </c>
      <c r="H1237" s="4" t="s">
        <v>856</v>
      </c>
      <c r="I1237" s="4" t="s">
        <v>459</v>
      </c>
      <c r="K1237" s="67" t="b">
        <v>1</v>
      </c>
      <c r="N1237" s="67" t="b">
        <v>1</v>
      </c>
      <c r="S1237" s="8"/>
    </row>
    <row r="1238" spans="1:24" ht="14.5">
      <c r="A1238" s="4" t="s">
        <v>5</v>
      </c>
      <c r="B1238" s="4" t="s">
        <v>398</v>
      </c>
      <c r="C1238" s="4" t="s">
        <v>2753</v>
      </c>
      <c r="D1238" s="4" t="s">
        <v>2754</v>
      </c>
      <c r="E1238" s="4">
        <v>34609538263</v>
      </c>
      <c r="F1238" s="53" t="s">
        <v>338</v>
      </c>
      <c r="G1238" s="32">
        <v>46098</v>
      </c>
      <c r="H1238" s="4" t="s">
        <v>856</v>
      </c>
      <c r="I1238" s="4" t="s">
        <v>459</v>
      </c>
      <c r="K1238" s="67" t="b">
        <v>1</v>
      </c>
      <c r="N1238" s="67" t="b">
        <v>1</v>
      </c>
      <c r="S1238" s="8"/>
    </row>
    <row r="1239" spans="1:24" ht="14.5">
      <c r="A1239" s="4" t="s">
        <v>5</v>
      </c>
      <c r="B1239" s="4" t="s">
        <v>119</v>
      </c>
      <c r="C1239" s="4" t="s">
        <v>2755</v>
      </c>
      <c r="D1239" s="4" t="s">
        <v>2756</v>
      </c>
      <c r="E1239" s="4">
        <v>525580341366</v>
      </c>
      <c r="F1239" s="53" t="s">
        <v>332</v>
      </c>
      <c r="G1239" s="32">
        <v>46098</v>
      </c>
      <c r="H1239" s="4" t="s">
        <v>856</v>
      </c>
      <c r="I1239" s="4" t="s">
        <v>459</v>
      </c>
      <c r="K1239" s="67" t="b">
        <v>1</v>
      </c>
      <c r="N1239" s="67" t="b">
        <v>1</v>
      </c>
      <c r="S1239" s="8"/>
    </row>
    <row r="1240" spans="1:24" ht="14.5">
      <c r="A1240" s="4" t="s">
        <v>5</v>
      </c>
      <c r="B1240" s="4" t="s">
        <v>398</v>
      </c>
      <c r="C1240" s="4" t="s">
        <v>2757</v>
      </c>
      <c r="D1240" s="4" t="s">
        <v>2758</v>
      </c>
      <c r="E1240" s="4">
        <v>662064261</v>
      </c>
      <c r="F1240" s="53" t="s">
        <v>496</v>
      </c>
      <c r="G1240" s="32">
        <v>46099</v>
      </c>
      <c r="H1240" s="4" t="s">
        <v>856</v>
      </c>
      <c r="I1240" s="4" t="s">
        <v>459</v>
      </c>
      <c r="K1240" s="67" t="b">
        <v>1</v>
      </c>
      <c r="N1240" s="67" t="b">
        <v>1</v>
      </c>
      <c r="S1240" s="8"/>
    </row>
    <row r="1241" spans="1:24" ht="14.5">
      <c r="A1241" s="4" t="s">
        <v>5</v>
      </c>
      <c r="B1241" s="4" t="s">
        <v>119</v>
      </c>
      <c r="C1241" s="4" t="s">
        <v>2759</v>
      </c>
      <c r="D1241" s="4" t="s">
        <v>359</v>
      </c>
      <c r="E1241" s="4">
        <v>573173006063</v>
      </c>
      <c r="F1241" s="53" t="s">
        <v>284</v>
      </c>
      <c r="G1241" s="32">
        <v>46099</v>
      </c>
      <c r="H1241" s="4" t="s">
        <v>856</v>
      </c>
      <c r="I1241" s="4" t="s">
        <v>448</v>
      </c>
      <c r="K1241" s="67" t="b">
        <v>1</v>
      </c>
      <c r="N1241" s="67" t="b">
        <v>1</v>
      </c>
      <c r="S1241" s="4" t="s">
        <v>119</v>
      </c>
      <c r="T1241" s="33">
        <v>46101</v>
      </c>
      <c r="U1241" s="6">
        <v>350</v>
      </c>
      <c r="V1241" s="4">
        <v>0</v>
      </c>
      <c r="W1241" s="4">
        <v>1</v>
      </c>
      <c r="X1241" s="8">
        <v>46023</v>
      </c>
    </row>
    <row r="1242" spans="1:24" ht="14.5">
      <c r="A1242" s="4" t="s">
        <v>5</v>
      </c>
      <c r="B1242" s="4" t="s">
        <v>398</v>
      </c>
      <c r="C1242" s="4" t="s">
        <v>2760</v>
      </c>
      <c r="D1242" s="4" t="s">
        <v>2761</v>
      </c>
      <c r="E1242" s="4">
        <v>616213595</v>
      </c>
      <c r="F1242" s="53" t="s">
        <v>2762</v>
      </c>
      <c r="G1242" s="32">
        <v>46099</v>
      </c>
      <c r="H1242" s="4" t="s">
        <v>856</v>
      </c>
      <c r="I1242" s="4" t="s">
        <v>459</v>
      </c>
      <c r="K1242" s="67" t="b">
        <v>1</v>
      </c>
      <c r="N1242" s="67" t="b">
        <v>1</v>
      </c>
      <c r="S1242" s="8"/>
    </row>
    <row r="1243" spans="1:24" ht="14.5">
      <c r="A1243" s="4" t="s">
        <v>5</v>
      </c>
      <c r="B1243" s="4" t="s">
        <v>119</v>
      </c>
      <c r="C1243" s="4" t="s">
        <v>2763</v>
      </c>
      <c r="D1243" s="4" t="s">
        <v>2764</v>
      </c>
      <c r="E1243" s="4">
        <v>584121339573</v>
      </c>
      <c r="F1243" s="53" t="s">
        <v>1814</v>
      </c>
      <c r="G1243" s="32">
        <v>46100</v>
      </c>
      <c r="H1243" s="4" t="s">
        <v>856</v>
      </c>
      <c r="I1243" s="4" t="s">
        <v>459</v>
      </c>
      <c r="K1243" s="67" t="b">
        <v>1</v>
      </c>
      <c r="N1243" s="67" t="b">
        <v>1</v>
      </c>
      <c r="S1243" s="8"/>
    </row>
    <row r="1244" spans="1:24" ht="14.5">
      <c r="A1244" s="4" t="s">
        <v>5</v>
      </c>
      <c r="B1244" s="4" t="s">
        <v>398</v>
      </c>
      <c r="C1244" s="4" t="s">
        <v>2765</v>
      </c>
      <c r="D1244" s="4" t="s">
        <v>2766</v>
      </c>
      <c r="E1244" s="4">
        <v>34688821405</v>
      </c>
      <c r="F1244" s="53" t="s">
        <v>1843</v>
      </c>
      <c r="G1244" s="32">
        <v>46100</v>
      </c>
      <c r="H1244" s="4" t="s">
        <v>856</v>
      </c>
      <c r="I1244" s="4" t="s">
        <v>459</v>
      </c>
      <c r="K1244" s="67" t="b">
        <v>1</v>
      </c>
      <c r="N1244" s="67" t="b">
        <v>1</v>
      </c>
      <c r="S1244" s="8"/>
    </row>
    <row r="1245" spans="1:24" ht="14.5">
      <c r="A1245" s="4" t="s">
        <v>5</v>
      </c>
      <c r="B1245" s="4" t="s">
        <v>119</v>
      </c>
      <c r="C1245" s="4" t="s">
        <v>2767</v>
      </c>
      <c r="D1245" s="4" t="s">
        <v>2768</v>
      </c>
      <c r="E1245" s="4">
        <v>8298699700</v>
      </c>
      <c r="F1245" s="53" t="s">
        <v>307</v>
      </c>
      <c r="G1245" s="32">
        <v>46101</v>
      </c>
      <c r="H1245" s="4" t="s">
        <v>856</v>
      </c>
      <c r="I1245" s="4" t="s">
        <v>459</v>
      </c>
      <c r="K1245" s="67" t="b">
        <v>1</v>
      </c>
      <c r="N1245" s="67" t="b">
        <v>1</v>
      </c>
      <c r="S1245" s="8"/>
    </row>
    <row r="1246" spans="1:24" ht="14.5">
      <c r="A1246" s="4" t="s">
        <v>5</v>
      </c>
      <c r="B1246" s="4" t="s">
        <v>398</v>
      </c>
      <c r="C1246" s="4" t="s">
        <v>2769</v>
      </c>
      <c r="D1246" s="4" t="s">
        <v>2770</v>
      </c>
      <c r="E1246" s="4">
        <v>18096078189</v>
      </c>
      <c r="F1246" s="53" t="s">
        <v>191</v>
      </c>
      <c r="G1246" s="32">
        <v>46101</v>
      </c>
      <c r="H1246" s="4" t="s">
        <v>856</v>
      </c>
      <c r="I1246" s="4" t="s">
        <v>459</v>
      </c>
      <c r="K1246" s="67" t="b">
        <v>1</v>
      </c>
      <c r="N1246" s="67" t="b">
        <v>1</v>
      </c>
      <c r="S1246" s="8"/>
    </row>
    <row r="1247" spans="1:24" ht="14.5">
      <c r="A1247" s="4" t="s">
        <v>5</v>
      </c>
      <c r="B1247" s="4" t="s">
        <v>119</v>
      </c>
      <c r="C1247" s="4" t="s">
        <v>2771</v>
      </c>
      <c r="D1247" s="4" t="s">
        <v>365</v>
      </c>
      <c r="E1247" s="4">
        <v>34620574463</v>
      </c>
      <c r="F1247" s="53" t="s">
        <v>82</v>
      </c>
      <c r="G1247" s="32">
        <v>46101</v>
      </c>
      <c r="H1247" s="4" t="s">
        <v>856</v>
      </c>
      <c r="I1247" s="4" t="s">
        <v>448</v>
      </c>
      <c r="K1247" s="67" t="b">
        <v>1</v>
      </c>
      <c r="N1247" s="67" t="b">
        <v>1</v>
      </c>
      <c r="S1247" s="4" t="s">
        <v>119</v>
      </c>
      <c r="T1247" s="33">
        <v>46104</v>
      </c>
      <c r="U1247" s="48">
        <v>192.5</v>
      </c>
      <c r="V1247" s="7">
        <v>0.3</v>
      </c>
      <c r="W1247" s="4">
        <v>1</v>
      </c>
      <c r="X1247" s="8">
        <v>46023</v>
      </c>
    </row>
    <row r="1248" spans="1:24" ht="14.5">
      <c r="A1248" s="4" t="s">
        <v>381</v>
      </c>
      <c r="B1248" s="4" t="s">
        <v>398</v>
      </c>
      <c r="C1248" s="4" t="s">
        <v>2772</v>
      </c>
      <c r="D1248" s="4" t="s">
        <v>2773</v>
      </c>
      <c r="E1248" s="4">
        <v>9611776982</v>
      </c>
      <c r="F1248" s="53" t="s">
        <v>2774</v>
      </c>
      <c r="G1248" s="32">
        <v>46101</v>
      </c>
      <c r="H1248" s="4" t="s">
        <v>856</v>
      </c>
      <c r="I1248" s="4" t="s">
        <v>459</v>
      </c>
      <c r="K1248" s="67" t="b">
        <v>1</v>
      </c>
      <c r="N1248" s="67" t="b">
        <v>1</v>
      </c>
      <c r="S1248" s="8"/>
    </row>
    <row r="1249" spans="1:25" ht="14">
      <c r="A1249" s="9" t="s">
        <v>5</v>
      </c>
      <c r="B1249" s="4" t="s">
        <v>119</v>
      </c>
      <c r="C1249" s="46" t="s">
        <v>356</v>
      </c>
      <c r="D1249" s="46" t="s">
        <v>357</v>
      </c>
      <c r="E1249" s="4" t="s">
        <v>358</v>
      </c>
      <c r="F1249" s="47" t="s">
        <v>11</v>
      </c>
      <c r="G1249" s="43">
        <v>46101</v>
      </c>
      <c r="H1249" s="9" t="s">
        <v>956</v>
      </c>
      <c r="I1249" s="4" t="s">
        <v>448</v>
      </c>
      <c r="K1249" s="67" t="b">
        <v>1</v>
      </c>
      <c r="N1249" s="67" t="b">
        <v>1</v>
      </c>
      <c r="S1249" s="4" t="s">
        <v>119</v>
      </c>
      <c r="T1249" s="33">
        <v>46101</v>
      </c>
      <c r="U1249" s="6">
        <v>270</v>
      </c>
      <c r="V1249" s="4">
        <v>0</v>
      </c>
      <c r="W1249" s="4">
        <v>0</v>
      </c>
      <c r="X1249" s="4">
        <v>1</v>
      </c>
      <c r="Y1249" s="8">
        <v>46023</v>
      </c>
    </row>
    <row r="1250" spans="1:25" ht="14">
      <c r="A1250" s="9" t="s">
        <v>5</v>
      </c>
      <c r="B1250" s="4" t="s">
        <v>398</v>
      </c>
      <c r="C1250" s="47" t="s">
        <v>360</v>
      </c>
      <c r="D1250" s="46" t="s">
        <v>361</v>
      </c>
      <c r="E1250" s="4" t="s">
        <v>362</v>
      </c>
      <c r="F1250" s="46" t="s">
        <v>70</v>
      </c>
      <c r="G1250" s="43">
        <v>46101</v>
      </c>
      <c r="H1250" s="9" t="s">
        <v>956</v>
      </c>
      <c r="I1250" s="4" t="s">
        <v>448</v>
      </c>
      <c r="K1250" s="67" t="b">
        <v>1</v>
      </c>
      <c r="N1250" s="67" t="b">
        <v>1</v>
      </c>
      <c r="S1250" s="4" t="s">
        <v>119</v>
      </c>
      <c r="T1250" s="33">
        <v>46101</v>
      </c>
      <c r="U1250" s="6">
        <v>175</v>
      </c>
      <c r="V1250" s="4">
        <v>0</v>
      </c>
      <c r="W1250" s="30">
        <v>0.3</v>
      </c>
      <c r="X1250" s="4">
        <v>1</v>
      </c>
      <c r="Y1250" s="8">
        <v>46023</v>
      </c>
    </row>
    <row r="1251" spans="1:25" ht="14">
      <c r="A1251" s="9" t="s">
        <v>5</v>
      </c>
      <c r="B1251" s="4" t="s">
        <v>119</v>
      </c>
      <c r="C1251" s="47" t="s">
        <v>363</v>
      </c>
      <c r="D1251" s="46" t="s">
        <v>364</v>
      </c>
      <c r="F1251" s="46" t="s">
        <v>40</v>
      </c>
      <c r="G1251" s="43">
        <v>46101</v>
      </c>
      <c r="H1251" s="9" t="s">
        <v>956</v>
      </c>
      <c r="I1251" s="4" t="s">
        <v>448</v>
      </c>
      <c r="K1251" s="67" t="b">
        <v>1</v>
      </c>
      <c r="N1251" s="67" t="b">
        <v>1</v>
      </c>
      <c r="S1251" s="4" t="s">
        <v>119</v>
      </c>
      <c r="T1251" s="33">
        <v>46101</v>
      </c>
      <c r="U1251" s="6">
        <v>290</v>
      </c>
      <c r="V1251" s="4">
        <v>0</v>
      </c>
      <c r="W1251" s="4">
        <v>0</v>
      </c>
      <c r="X1251" s="4">
        <v>1</v>
      </c>
      <c r="Y1251" s="8">
        <v>46023</v>
      </c>
    </row>
    <row r="1252" spans="1:25" ht="14.5">
      <c r="A1252" s="9" t="s">
        <v>5</v>
      </c>
      <c r="B1252" s="4" t="s">
        <v>398</v>
      </c>
      <c r="C1252" s="9" t="s">
        <v>2775</v>
      </c>
      <c r="D1252" s="9" t="s">
        <v>2776</v>
      </c>
      <c r="E1252" s="29">
        <v>51996062990</v>
      </c>
      <c r="F1252" s="96" t="s">
        <v>380</v>
      </c>
      <c r="G1252" s="43">
        <v>46102</v>
      </c>
      <c r="H1252" s="9" t="s">
        <v>856</v>
      </c>
      <c r="I1252" s="9" t="s">
        <v>459</v>
      </c>
      <c r="J1252" s="9"/>
      <c r="K1252" s="67" t="b">
        <v>1</v>
      </c>
      <c r="L1252" s="9"/>
      <c r="M1252" s="9"/>
      <c r="N1252" s="67" t="b">
        <v>1</v>
      </c>
      <c r="O1252" s="9"/>
      <c r="P1252" s="9"/>
      <c r="Q1252" s="9"/>
      <c r="R1252" s="9"/>
      <c r="S1252" s="44"/>
      <c r="T1252" s="9"/>
      <c r="U1252" s="9"/>
      <c r="V1252" s="9"/>
      <c r="W1252" s="9"/>
      <c r="X1252" s="9"/>
    </row>
    <row r="1253" spans="1:25" ht="14.5">
      <c r="A1253" s="9" t="s">
        <v>5</v>
      </c>
      <c r="B1253" s="4" t="s">
        <v>119</v>
      </c>
      <c r="C1253" s="9" t="s">
        <v>2777</v>
      </c>
      <c r="D1253" s="9" t="s">
        <v>2778</v>
      </c>
      <c r="E1253" s="29">
        <v>51956912160</v>
      </c>
      <c r="F1253" s="96" t="s">
        <v>1167</v>
      </c>
      <c r="G1253" s="43">
        <v>46103</v>
      </c>
      <c r="H1253" s="9" t="s">
        <v>856</v>
      </c>
      <c r="I1253" s="9" t="s">
        <v>459</v>
      </c>
      <c r="J1253" s="9"/>
      <c r="K1253" s="67" t="b">
        <v>1</v>
      </c>
      <c r="L1253" s="9"/>
      <c r="M1253" s="9"/>
      <c r="N1253" s="67" t="b">
        <v>1</v>
      </c>
      <c r="O1253" s="9"/>
      <c r="P1253" s="9"/>
      <c r="Q1253" s="9"/>
      <c r="R1253" s="9"/>
      <c r="S1253" s="44"/>
      <c r="T1253" s="9"/>
      <c r="U1253" s="9"/>
      <c r="V1253" s="9"/>
      <c r="W1253" s="9"/>
      <c r="X1253" s="9"/>
    </row>
    <row r="1254" spans="1:25" ht="14.5">
      <c r="A1254" s="9" t="s">
        <v>5</v>
      </c>
      <c r="B1254" s="4" t="s">
        <v>398</v>
      </c>
      <c r="C1254" s="9" t="s">
        <v>2779</v>
      </c>
      <c r="D1254" s="9" t="s">
        <v>2780</v>
      </c>
      <c r="E1254" s="29">
        <v>34626517605</v>
      </c>
      <c r="F1254" s="96" t="s">
        <v>298</v>
      </c>
      <c r="G1254" s="43">
        <v>46103</v>
      </c>
      <c r="H1254" s="9" t="s">
        <v>856</v>
      </c>
      <c r="I1254" s="9" t="s">
        <v>459</v>
      </c>
      <c r="J1254" s="9"/>
      <c r="K1254" s="67" t="b">
        <v>1</v>
      </c>
      <c r="L1254" s="9"/>
      <c r="M1254" s="9"/>
      <c r="N1254" s="67" t="b">
        <v>1</v>
      </c>
      <c r="O1254" s="9"/>
      <c r="P1254" s="9"/>
      <c r="Q1254" s="9"/>
      <c r="R1254" s="9"/>
      <c r="S1254" s="44"/>
      <c r="T1254" s="9"/>
      <c r="U1254" s="9"/>
      <c r="V1254" s="9"/>
      <c r="W1254" s="9"/>
      <c r="X1254" s="9"/>
    </row>
    <row r="1255" spans="1:25" ht="14.5">
      <c r="A1255" s="9" t="s">
        <v>381</v>
      </c>
      <c r="B1255" s="4" t="s">
        <v>119</v>
      </c>
      <c r="C1255" s="9" t="s">
        <v>2781</v>
      </c>
      <c r="D1255" s="9" t="s">
        <v>2782</v>
      </c>
      <c r="E1255" s="29">
        <v>50670168321</v>
      </c>
      <c r="F1255" s="96" t="s">
        <v>2783</v>
      </c>
      <c r="G1255" s="43">
        <v>46104</v>
      </c>
      <c r="H1255" s="9" t="s">
        <v>856</v>
      </c>
      <c r="I1255" s="9" t="s">
        <v>459</v>
      </c>
      <c r="J1255" s="9"/>
      <c r="K1255" s="67" t="b">
        <v>1</v>
      </c>
      <c r="L1255" s="9"/>
      <c r="M1255" s="9"/>
      <c r="N1255" s="67" t="b">
        <v>1</v>
      </c>
      <c r="O1255" s="9"/>
      <c r="P1255" s="9"/>
      <c r="Q1255" s="9"/>
      <c r="R1255" s="9"/>
      <c r="S1255" s="44"/>
      <c r="T1255" s="9"/>
      <c r="U1255" s="9"/>
      <c r="V1255" s="9"/>
      <c r="W1255" s="9"/>
      <c r="X1255" s="9"/>
    </row>
    <row r="1256" spans="1:25" ht="14.5">
      <c r="A1256" s="9" t="s">
        <v>5</v>
      </c>
      <c r="B1256" s="4" t="s">
        <v>398</v>
      </c>
      <c r="C1256" s="9" t="s">
        <v>2784</v>
      </c>
      <c r="D1256" s="9" t="s">
        <v>2785</v>
      </c>
      <c r="E1256" s="29">
        <v>31648514078</v>
      </c>
      <c r="F1256" s="96" t="s">
        <v>1457</v>
      </c>
      <c r="G1256" s="43">
        <v>46104</v>
      </c>
      <c r="H1256" s="9" t="s">
        <v>856</v>
      </c>
      <c r="I1256" s="9" t="s">
        <v>459</v>
      </c>
      <c r="J1256" s="9"/>
      <c r="K1256" s="67" t="b">
        <v>1</v>
      </c>
      <c r="L1256" s="9"/>
      <c r="M1256" s="9"/>
      <c r="N1256" s="67" t="b">
        <v>1</v>
      </c>
      <c r="O1256" s="9"/>
      <c r="P1256" s="9"/>
      <c r="Q1256" s="9"/>
      <c r="R1256" s="9"/>
      <c r="S1256" s="44"/>
      <c r="T1256" s="9"/>
      <c r="U1256" s="9"/>
      <c r="V1256" s="9"/>
      <c r="W1256" s="9"/>
      <c r="X1256" s="9"/>
    </row>
    <row r="1257" spans="1:25" ht="12.5">
      <c r="A1257" s="9" t="s">
        <v>240</v>
      </c>
      <c r="B1257" s="4" t="s">
        <v>119</v>
      </c>
      <c r="C1257" s="9" t="s">
        <v>2786</v>
      </c>
      <c r="D1257" s="9"/>
      <c r="E1257" s="9" t="s">
        <v>2787</v>
      </c>
      <c r="F1257" s="9" t="s">
        <v>2788</v>
      </c>
      <c r="G1257" s="43">
        <v>46104</v>
      </c>
      <c r="H1257" s="9" t="s">
        <v>956</v>
      </c>
      <c r="I1257" s="9" t="s">
        <v>459</v>
      </c>
      <c r="J1257" s="9"/>
      <c r="K1257" s="67" t="b">
        <v>1</v>
      </c>
      <c r="L1257" s="9"/>
      <c r="M1257" s="9"/>
      <c r="N1257" s="67" t="b">
        <v>1</v>
      </c>
      <c r="O1257" s="9"/>
      <c r="P1257" s="9"/>
      <c r="Q1257" s="9"/>
      <c r="R1257" s="9"/>
      <c r="S1257" s="44"/>
      <c r="T1257" s="97"/>
      <c r="U1257" s="34"/>
      <c r="V1257" s="98"/>
      <c r="W1257" s="9"/>
      <c r="X1257" s="44"/>
    </row>
    <row r="1258" spans="1:25" ht="12.5">
      <c r="A1258" s="9" t="s">
        <v>5</v>
      </c>
      <c r="B1258" s="4" t="s">
        <v>398</v>
      </c>
      <c r="C1258" s="9"/>
      <c r="D1258" s="9"/>
      <c r="E1258" s="9" t="s">
        <v>2789</v>
      </c>
      <c r="F1258" s="9" t="s">
        <v>2790</v>
      </c>
      <c r="G1258" s="43">
        <v>46104</v>
      </c>
      <c r="H1258" s="9" t="s">
        <v>956</v>
      </c>
      <c r="I1258" s="9" t="s">
        <v>459</v>
      </c>
      <c r="J1258" s="9"/>
      <c r="K1258" s="67" t="b">
        <v>1</v>
      </c>
      <c r="L1258" s="9"/>
      <c r="M1258" s="9"/>
      <c r="N1258" s="67" t="b">
        <v>1</v>
      </c>
      <c r="O1258" s="9"/>
      <c r="P1258" s="9"/>
      <c r="Q1258" s="9"/>
      <c r="R1258" s="9"/>
      <c r="S1258" s="44"/>
      <c r="T1258" s="97"/>
      <c r="U1258" s="34"/>
      <c r="V1258" s="98"/>
      <c r="W1258" s="9"/>
      <c r="X1258" s="44"/>
    </row>
    <row r="1259" spans="1:25" ht="12.5">
      <c r="A1259" s="9" t="s">
        <v>5</v>
      </c>
      <c r="B1259" s="4" t="s">
        <v>119</v>
      </c>
      <c r="C1259" s="9" t="s">
        <v>2791</v>
      </c>
      <c r="D1259" s="9" t="s">
        <v>2792</v>
      </c>
      <c r="E1259" s="29">
        <v>31616032318</v>
      </c>
      <c r="F1259" s="9" t="s">
        <v>56</v>
      </c>
      <c r="G1259" s="43">
        <v>46104</v>
      </c>
      <c r="H1259" s="9" t="s">
        <v>856</v>
      </c>
      <c r="I1259" s="9" t="s">
        <v>459</v>
      </c>
      <c r="J1259" s="9"/>
      <c r="K1259" s="67" t="b">
        <v>1</v>
      </c>
      <c r="L1259" s="9"/>
      <c r="M1259" s="9"/>
      <c r="N1259" s="67" t="b">
        <v>1</v>
      </c>
      <c r="O1259" s="9"/>
      <c r="P1259" s="9"/>
      <c r="Q1259" s="9"/>
      <c r="R1259" s="9"/>
      <c r="S1259" s="44"/>
      <c r="T1259" s="9"/>
      <c r="U1259" s="9"/>
      <c r="V1259" s="9"/>
      <c r="W1259" s="9"/>
      <c r="X1259" s="9"/>
    </row>
    <row r="1260" spans="1:25" ht="14">
      <c r="A1260" s="9" t="s">
        <v>5</v>
      </c>
      <c r="B1260" s="4" t="s">
        <v>398</v>
      </c>
      <c r="C1260" s="46" t="s">
        <v>366</v>
      </c>
      <c r="D1260" s="46" t="s">
        <v>367</v>
      </c>
      <c r="E1260" s="58"/>
      <c r="F1260" s="9" t="s">
        <v>56</v>
      </c>
      <c r="G1260" s="43">
        <v>46104</v>
      </c>
      <c r="H1260" s="9" t="s">
        <v>956</v>
      </c>
      <c r="I1260" s="9" t="s">
        <v>448</v>
      </c>
      <c r="J1260" s="9"/>
      <c r="K1260" s="67" t="b">
        <v>1</v>
      </c>
      <c r="L1260" s="9"/>
      <c r="M1260" s="9"/>
      <c r="N1260" s="67" t="b">
        <v>1</v>
      </c>
      <c r="O1260" s="9"/>
      <c r="P1260" s="9"/>
      <c r="Q1260" s="9"/>
      <c r="R1260" s="9"/>
      <c r="S1260" s="44" t="s">
        <v>119</v>
      </c>
      <c r="T1260" s="45">
        <v>46104</v>
      </c>
      <c r="U1260" s="48">
        <v>95</v>
      </c>
      <c r="V1260" s="30">
        <v>0</v>
      </c>
      <c r="W1260" s="29">
        <v>1</v>
      </c>
      <c r="X1260" s="31">
        <v>46023</v>
      </c>
    </row>
    <row r="1261" spans="1:25" ht="14">
      <c r="A1261" s="9" t="s">
        <v>381</v>
      </c>
      <c r="B1261" s="4" t="s">
        <v>119</v>
      </c>
      <c r="C1261" s="46" t="s">
        <v>2793</v>
      </c>
      <c r="D1261" s="46" t="s">
        <v>2794</v>
      </c>
      <c r="E1261" s="49">
        <v>34671612516</v>
      </c>
      <c r="F1261" s="9" t="s">
        <v>2795</v>
      </c>
      <c r="G1261" s="43">
        <v>46104</v>
      </c>
      <c r="H1261" s="9" t="s">
        <v>856</v>
      </c>
      <c r="I1261" s="9" t="s">
        <v>459</v>
      </c>
      <c r="J1261" s="9"/>
      <c r="K1261" s="67" t="b">
        <v>1</v>
      </c>
      <c r="L1261" s="9"/>
      <c r="M1261" s="9"/>
      <c r="N1261" s="67" t="b">
        <v>1</v>
      </c>
      <c r="O1261" s="9"/>
      <c r="P1261" s="9"/>
      <c r="Q1261" s="9"/>
      <c r="R1261" s="9"/>
      <c r="S1261" s="44"/>
      <c r="T1261" s="97"/>
      <c r="U1261" s="34"/>
      <c r="V1261" s="98"/>
      <c r="W1261" s="9"/>
      <c r="X1261" s="44"/>
    </row>
    <row r="1262" spans="1:25" ht="14.5">
      <c r="A1262" s="9"/>
      <c r="B1262" s="4" t="s">
        <v>398</v>
      </c>
      <c r="C1262" s="9" t="s">
        <v>2796</v>
      </c>
      <c r="D1262" s="9"/>
      <c r="E1262" s="9" t="s">
        <v>2797</v>
      </c>
      <c r="F1262" s="96" t="s">
        <v>307</v>
      </c>
      <c r="G1262" s="43">
        <v>46104</v>
      </c>
      <c r="H1262" s="9" t="s">
        <v>956</v>
      </c>
      <c r="I1262" s="9" t="s">
        <v>459</v>
      </c>
      <c r="J1262" s="9"/>
      <c r="K1262" s="67" t="b">
        <v>1</v>
      </c>
      <c r="L1262" s="9"/>
      <c r="M1262" s="9"/>
      <c r="N1262" s="67" t="b">
        <v>1</v>
      </c>
      <c r="O1262" s="9"/>
      <c r="P1262" s="9"/>
      <c r="Q1262" s="9"/>
      <c r="R1262" s="9"/>
      <c r="S1262" s="44"/>
      <c r="T1262" s="9"/>
      <c r="U1262" s="9"/>
      <c r="V1262" s="9"/>
      <c r="W1262" s="9"/>
      <c r="X1262" s="9"/>
    </row>
    <row r="1263" spans="1:25" ht="14.5">
      <c r="A1263" s="9"/>
      <c r="B1263" s="4" t="s">
        <v>119</v>
      </c>
      <c r="C1263" s="9"/>
      <c r="D1263" s="9"/>
      <c r="E1263" s="9" t="s">
        <v>2798</v>
      </c>
      <c r="F1263" s="96" t="s">
        <v>307</v>
      </c>
      <c r="G1263" s="43">
        <v>46104</v>
      </c>
      <c r="H1263" s="9" t="s">
        <v>956</v>
      </c>
      <c r="I1263" s="9" t="s">
        <v>459</v>
      </c>
      <c r="J1263" s="9"/>
      <c r="K1263" s="67" t="b">
        <v>1</v>
      </c>
      <c r="L1263" s="9"/>
      <c r="M1263" s="9"/>
      <c r="N1263" s="67" t="b">
        <v>1</v>
      </c>
      <c r="O1263" s="9"/>
      <c r="P1263" s="9"/>
      <c r="Q1263" s="9"/>
      <c r="R1263" s="9"/>
      <c r="S1263" s="44"/>
      <c r="T1263" s="97"/>
      <c r="U1263" s="34"/>
      <c r="V1263" s="98"/>
      <c r="W1263" s="9"/>
      <c r="X1263" s="44"/>
    </row>
    <row r="1264" spans="1:25" ht="14.5">
      <c r="A1264" s="9" t="s">
        <v>381</v>
      </c>
      <c r="B1264" s="4" t="s">
        <v>398</v>
      </c>
      <c r="C1264" s="9" t="s">
        <v>2799</v>
      </c>
      <c r="D1264" s="9" t="s">
        <v>2800</v>
      </c>
      <c r="E1264" s="29">
        <v>51949833611</v>
      </c>
      <c r="F1264" s="96" t="s">
        <v>2801</v>
      </c>
      <c r="G1264" s="43">
        <v>46104</v>
      </c>
      <c r="H1264" s="9" t="s">
        <v>856</v>
      </c>
      <c r="I1264" s="9" t="s">
        <v>459</v>
      </c>
      <c r="J1264" s="9"/>
      <c r="K1264" s="67" t="b">
        <v>1</v>
      </c>
      <c r="L1264" s="9"/>
      <c r="M1264" s="9"/>
      <c r="N1264" s="67" t="b">
        <v>1</v>
      </c>
      <c r="O1264" s="9"/>
      <c r="P1264" s="9"/>
      <c r="Q1264" s="9"/>
      <c r="R1264" s="9"/>
      <c r="S1264" s="44"/>
      <c r="T1264" s="9"/>
      <c r="U1264" s="9"/>
      <c r="V1264" s="9"/>
      <c r="W1264" s="9"/>
      <c r="X1264" s="9"/>
    </row>
    <row r="1265" spans="1:24" ht="14.5">
      <c r="A1265" s="9" t="s">
        <v>5</v>
      </c>
      <c r="B1265" s="4" t="s">
        <v>119</v>
      </c>
      <c r="C1265" s="9" t="s">
        <v>2802</v>
      </c>
      <c r="D1265" s="9" t="s">
        <v>2803</v>
      </c>
      <c r="E1265" s="29">
        <v>56979585547</v>
      </c>
      <c r="F1265" s="96" t="s">
        <v>319</v>
      </c>
      <c r="G1265" s="43">
        <v>46105</v>
      </c>
      <c r="H1265" s="9" t="s">
        <v>856</v>
      </c>
      <c r="I1265" s="9" t="s">
        <v>459</v>
      </c>
      <c r="J1265" s="9"/>
      <c r="K1265" s="67" t="b">
        <v>1</v>
      </c>
      <c r="L1265" s="9"/>
      <c r="M1265" s="9"/>
      <c r="N1265" s="67" t="b">
        <v>1</v>
      </c>
      <c r="O1265" s="9"/>
      <c r="P1265" s="9"/>
      <c r="Q1265" s="9"/>
      <c r="R1265" s="9"/>
      <c r="S1265" s="44"/>
      <c r="T1265" s="9"/>
      <c r="U1265" s="9"/>
      <c r="V1265" s="9"/>
      <c r="W1265" s="9"/>
      <c r="X1265" s="9"/>
    </row>
    <row r="1266" spans="1:24" ht="14.5">
      <c r="A1266" s="9" t="s">
        <v>5</v>
      </c>
      <c r="B1266" s="4" t="s">
        <v>398</v>
      </c>
      <c r="C1266" s="9" t="s">
        <v>2804</v>
      </c>
      <c r="D1266" s="9" t="s">
        <v>370</v>
      </c>
      <c r="E1266" s="29">
        <v>527222300562</v>
      </c>
      <c r="F1266" s="96" t="s">
        <v>8</v>
      </c>
      <c r="G1266" s="43">
        <v>46105</v>
      </c>
      <c r="H1266" s="9" t="s">
        <v>856</v>
      </c>
      <c r="I1266" s="9" t="s">
        <v>448</v>
      </c>
      <c r="J1266" s="9"/>
      <c r="K1266" s="67" t="b">
        <v>1</v>
      </c>
      <c r="L1266" s="9"/>
      <c r="M1266" s="9"/>
      <c r="N1266" s="67" t="b">
        <v>1</v>
      </c>
      <c r="O1266" s="9"/>
      <c r="P1266" s="9"/>
      <c r="Q1266" s="9"/>
      <c r="R1266" s="9"/>
      <c r="S1266" s="44" t="s">
        <v>119</v>
      </c>
      <c r="T1266" s="45">
        <v>46105</v>
      </c>
      <c r="U1266" s="28">
        <v>150</v>
      </c>
      <c r="V1266" s="30">
        <v>0.5</v>
      </c>
      <c r="W1266" s="29">
        <v>1</v>
      </c>
      <c r="X1266" s="31">
        <v>46023</v>
      </c>
    </row>
    <row r="1267" spans="1:24" ht="14.5">
      <c r="A1267" s="9" t="s">
        <v>5</v>
      </c>
      <c r="B1267" s="4" t="s">
        <v>119</v>
      </c>
      <c r="C1267" s="9" t="s">
        <v>2805</v>
      </c>
      <c r="D1267" s="9" t="s">
        <v>2806</v>
      </c>
      <c r="E1267" s="29">
        <v>526565769636</v>
      </c>
      <c r="F1267" s="96" t="s">
        <v>702</v>
      </c>
      <c r="G1267" s="43">
        <v>46105</v>
      </c>
      <c r="H1267" s="9" t="s">
        <v>856</v>
      </c>
      <c r="I1267" s="9" t="s">
        <v>459</v>
      </c>
      <c r="J1267" s="98"/>
      <c r="K1267" s="67" t="b">
        <v>1</v>
      </c>
      <c r="L1267" s="44"/>
      <c r="M1267" s="9"/>
      <c r="N1267" s="67" t="b">
        <v>1</v>
      </c>
      <c r="O1267" s="9"/>
      <c r="P1267" s="9"/>
      <c r="Q1267" s="9"/>
      <c r="R1267" s="9"/>
      <c r="S1267" s="44"/>
      <c r="T1267" s="97"/>
      <c r="U1267" s="34"/>
      <c r="V1267" s="98"/>
      <c r="W1267" s="9"/>
      <c r="X1267" s="44"/>
    </row>
    <row r="1268" spans="1:24" ht="14.5">
      <c r="A1268" s="9" t="s">
        <v>5</v>
      </c>
      <c r="B1268" s="4" t="s">
        <v>398</v>
      </c>
      <c r="C1268" s="34" t="s">
        <v>2807</v>
      </c>
      <c r="D1268" s="9" t="s">
        <v>2808</v>
      </c>
      <c r="E1268" s="29">
        <v>522871238504</v>
      </c>
      <c r="F1268" s="96" t="s">
        <v>1188</v>
      </c>
      <c r="G1268" s="43">
        <v>46105</v>
      </c>
      <c r="H1268" s="9" t="s">
        <v>856</v>
      </c>
      <c r="I1268" s="9" t="s">
        <v>459</v>
      </c>
      <c r="J1268" s="9"/>
      <c r="K1268" s="67" t="b">
        <v>1</v>
      </c>
      <c r="L1268" s="9"/>
      <c r="M1268" s="9"/>
      <c r="N1268" s="67" t="b">
        <v>1</v>
      </c>
      <c r="O1268" s="9"/>
      <c r="P1268" s="9"/>
      <c r="Q1268" s="9"/>
      <c r="R1268" s="9"/>
      <c r="S1268" s="44"/>
      <c r="T1268" s="97"/>
      <c r="U1268" s="34"/>
      <c r="V1268" s="98"/>
      <c r="W1268" s="9"/>
      <c r="X1268" s="44"/>
    </row>
    <row r="1269" spans="1:24" ht="14.5">
      <c r="A1269" s="9" t="s">
        <v>5</v>
      </c>
      <c r="B1269" s="4" t="s">
        <v>119</v>
      </c>
      <c r="C1269" s="9" t="s">
        <v>2809</v>
      </c>
      <c r="D1269" s="9" t="s">
        <v>2810</v>
      </c>
      <c r="E1269" s="29">
        <v>5216181008948</v>
      </c>
      <c r="F1269" s="96" t="s">
        <v>8</v>
      </c>
      <c r="G1269" s="43">
        <v>46105</v>
      </c>
      <c r="H1269" s="9" t="s">
        <v>856</v>
      </c>
      <c r="I1269" s="9" t="s">
        <v>459</v>
      </c>
      <c r="J1269" s="9"/>
      <c r="K1269" s="67" t="b">
        <v>1</v>
      </c>
      <c r="L1269" s="9"/>
      <c r="M1269" s="9"/>
      <c r="N1269" s="67" t="b">
        <v>1</v>
      </c>
      <c r="O1269" s="9"/>
      <c r="P1269" s="9"/>
      <c r="Q1269" s="9"/>
      <c r="R1269" s="9"/>
      <c r="S1269" s="44"/>
      <c r="T1269" s="9"/>
      <c r="U1269" s="9"/>
      <c r="V1269" s="9"/>
      <c r="W1269" s="9"/>
      <c r="X1269" s="9"/>
    </row>
    <row r="1270" spans="1:24" ht="14">
      <c r="A1270" s="9" t="s">
        <v>5</v>
      </c>
      <c r="B1270" s="4" t="s">
        <v>398</v>
      </c>
      <c r="C1270" s="51" t="s">
        <v>345</v>
      </c>
      <c r="D1270" s="9" t="s">
        <v>346</v>
      </c>
      <c r="E1270" s="9"/>
      <c r="F1270" s="56" t="s">
        <v>369</v>
      </c>
      <c r="G1270" s="43">
        <v>46105</v>
      </c>
      <c r="H1270" s="9" t="s">
        <v>956</v>
      </c>
      <c r="I1270" s="9" t="s">
        <v>448</v>
      </c>
      <c r="J1270" s="98"/>
      <c r="K1270" s="67" t="b">
        <v>1</v>
      </c>
      <c r="L1270" s="44"/>
      <c r="M1270" s="9"/>
      <c r="N1270" s="67" t="b">
        <v>1</v>
      </c>
      <c r="O1270" s="9"/>
      <c r="P1270" s="9"/>
      <c r="Q1270" s="9"/>
      <c r="R1270" s="9"/>
      <c r="S1270" s="44" t="s">
        <v>119</v>
      </c>
      <c r="T1270" s="45">
        <v>46105</v>
      </c>
      <c r="U1270" s="28">
        <v>181</v>
      </c>
      <c r="V1270" s="30">
        <v>0.3</v>
      </c>
      <c r="W1270" s="29">
        <v>3</v>
      </c>
      <c r="X1270" s="31">
        <v>46082</v>
      </c>
    </row>
    <row r="1271" spans="1:24" ht="14">
      <c r="A1271" s="9" t="s">
        <v>5</v>
      </c>
      <c r="B1271" s="4" t="s">
        <v>119</v>
      </c>
      <c r="C1271" s="47" t="s">
        <v>371</v>
      </c>
      <c r="D1271" s="46" t="s">
        <v>372</v>
      </c>
      <c r="E1271" s="9"/>
      <c r="F1271" s="56" t="s">
        <v>369</v>
      </c>
      <c r="G1271" s="43">
        <v>46105</v>
      </c>
      <c r="H1271" s="9" t="s">
        <v>956</v>
      </c>
      <c r="I1271" s="9" t="s">
        <v>448</v>
      </c>
      <c r="J1271" s="9"/>
      <c r="K1271" s="67" t="b">
        <v>1</v>
      </c>
      <c r="L1271" s="9"/>
      <c r="M1271" s="9"/>
      <c r="N1271" s="67" t="b">
        <v>1</v>
      </c>
      <c r="O1271" s="9"/>
      <c r="P1271" s="9"/>
      <c r="Q1271" s="9"/>
      <c r="R1271" s="9"/>
      <c r="S1271" s="44" t="s">
        <v>119</v>
      </c>
      <c r="T1271" s="45">
        <v>46105</v>
      </c>
      <c r="U1271" s="28">
        <v>221.9</v>
      </c>
      <c r="V1271" s="30">
        <v>0.3</v>
      </c>
      <c r="W1271" s="29">
        <v>3</v>
      </c>
      <c r="X1271" s="31">
        <v>46082</v>
      </c>
    </row>
    <row r="1272" spans="1:24" ht="14">
      <c r="A1272" s="9" t="s">
        <v>5</v>
      </c>
      <c r="B1272" s="4" t="s">
        <v>398</v>
      </c>
      <c r="C1272" s="46" t="s">
        <v>2811</v>
      </c>
      <c r="D1272" s="46" t="s">
        <v>2812</v>
      </c>
      <c r="E1272" s="9">
        <v>34653936597</v>
      </c>
      <c r="F1272" s="56" t="s">
        <v>332</v>
      </c>
      <c r="G1272" s="43">
        <v>46106</v>
      </c>
      <c r="H1272" s="9" t="s">
        <v>856</v>
      </c>
      <c r="I1272" s="4" t="s">
        <v>459</v>
      </c>
      <c r="J1272" s="9"/>
      <c r="K1272" s="67" t="b">
        <v>1</v>
      </c>
      <c r="L1272" s="9"/>
      <c r="M1272" s="9"/>
      <c r="N1272" s="67" t="b">
        <v>1</v>
      </c>
      <c r="O1272" s="9"/>
      <c r="P1272" s="9"/>
      <c r="Q1272" s="9"/>
      <c r="R1272" s="9"/>
      <c r="S1272" s="44"/>
      <c r="T1272" s="45"/>
      <c r="U1272" s="28"/>
      <c r="V1272" s="30"/>
      <c r="W1272" s="29"/>
      <c r="X1272" s="31"/>
    </row>
    <row r="1273" spans="1:24" ht="14">
      <c r="A1273" s="9" t="s">
        <v>5</v>
      </c>
      <c r="B1273" s="4" t="s">
        <v>119</v>
      </c>
      <c r="C1273" s="46" t="s">
        <v>373</v>
      </c>
      <c r="D1273" s="46" t="s">
        <v>374</v>
      </c>
      <c r="F1273" s="46" t="s">
        <v>375</v>
      </c>
      <c r="G1273" s="43">
        <v>46106</v>
      </c>
      <c r="H1273" s="9" t="s">
        <v>856</v>
      </c>
      <c r="I1273" s="4" t="s">
        <v>448</v>
      </c>
      <c r="J1273" s="4"/>
      <c r="K1273" s="67" t="b">
        <v>1</v>
      </c>
      <c r="L1273" s="4"/>
      <c r="M1273" s="4"/>
      <c r="N1273" s="67" t="b">
        <v>1</v>
      </c>
      <c r="O1273" s="4"/>
      <c r="P1273" s="4"/>
      <c r="Q1273" s="4"/>
      <c r="R1273" s="4"/>
      <c r="S1273" s="4" t="s">
        <v>119</v>
      </c>
      <c r="T1273" s="33">
        <v>46106</v>
      </c>
      <c r="U1273" s="6">
        <v>350</v>
      </c>
      <c r="V1273" s="4">
        <v>0</v>
      </c>
      <c r="W1273" s="4">
        <v>1</v>
      </c>
      <c r="X1273" s="8">
        <v>46023</v>
      </c>
    </row>
    <row r="1274" spans="1:24" ht="14">
      <c r="A1274" s="4" t="s">
        <v>5</v>
      </c>
      <c r="B1274" s="4" t="s">
        <v>398</v>
      </c>
      <c r="C1274" s="4" t="s">
        <v>2813</v>
      </c>
      <c r="D1274" s="46" t="s">
        <v>2814</v>
      </c>
      <c r="E1274" s="4">
        <v>31617000000</v>
      </c>
      <c r="F1274" s="4" t="s">
        <v>386</v>
      </c>
      <c r="G1274" s="32">
        <v>46106</v>
      </c>
      <c r="H1274" s="4" t="s">
        <v>856</v>
      </c>
      <c r="I1274" s="4" t="s">
        <v>459</v>
      </c>
      <c r="K1274" s="67" t="b">
        <v>1</v>
      </c>
      <c r="N1274" s="67" t="b">
        <v>1</v>
      </c>
      <c r="S1274" s="8"/>
    </row>
    <row r="1275" spans="1:24" ht="14">
      <c r="A1275" s="4" t="s">
        <v>5</v>
      </c>
      <c r="B1275" s="4" t="s">
        <v>119</v>
      </c>
      <c r="C1275" s="4" t="s">
        <v>2815</v>
      </c>
      <c r="D1275" s="46" t="s">
        <v>2816</v>
      </c>
      <c r="E1275" s="4">
        <v>34635301945</v>
      </c>
      <c r="F1275" s="4" t="s">
        <v>52</v>
      </c>
      <c r="G1275" s="32">
        <v>46106</v>
      </c>
      <c r="H1275" s="4" t="s">
        <v>856</v>
      </c>
      <c r="I1275" s="4" t="s">
        <v>459</v>
      </c>
      <c r="J1275" s="68" t="b">
        <v>1</v>
      </c>
      <c r="K1275" s="67" t="b">
        <v>1</v>
      </c>
      <c r="N1275" s="67" t="b">
        <v>1</v>
      </c>
      <c r="S1275" s="8"/>
    </row>
    <row r="1276" spans="1:24" ht="14">
      <c r="A1276" s="9" t="s">
        <v>5</v>
      </c>
      <c r="B1276" s="4" t="s">
        <v>398</v>
      </c>
      <c r="C1276" s="4" t="s">
        <v>320</v>
      </c>
      <c r="D1276" s="46" t="s">
        <v>376</v>
      </c>
      <c r="E1276" s="46">
        <v>34620365736</v>
      </c>
      <c r="F1276" s="46" t="s">
        <v>172</v>
      </c>
      <c r="G1276" s="43">
        <v>46106</v>
      </c>
      <c r="I1276" s="4" t="s">
        <v>448</v>
      </c>
      <c r="K1276" s="67"/>
      <c r="N1276" s="67" t="b">
        <v>1</v>
      </c>
      <c r="S1276" s="4" t="s">
        <v>34</v>
      </c>
      <c r="T1276" s="33">
        <v>46106</v>
      </c>
      <c r="U1276" s="6">
        <v>145</v>
      </c>
      <c r="V1276" s="4">
        <v>0</v>
      </c>
      <c r="W1276" s="4">
        <v>1</v>
      </c>
      <c r="X1276" s="8">
        <v>46023</v>
      </c>
    </row>
    <row r="1277" spans="1:24" ht="14">
      <c r="A1277" s="4" t="s">
        <v>240</v>
      </c>
      <c r="B1277" s="4" t="s">
        <v>119</v>
      </c>
      <c r="C1277" s="38" t="s">
        <v>377</v>
      </c>
      <c r="E1277" s="4" t="s">
        <v>378</v>
      </c>
      <c r="F1277" s="20" t="s">
        <v>379</v>
      </c>
      <c r="G1277" s="43">
        <v>46106</v>
      </c>
      <c r="I1277" s="4" t="s">
        <v>448</v>
      </c>
      <c r="K1277" s="67" t="b">
        <v>1</v>
      </c>
      <c r="N1277" s="67" t="b">
        <v>1</v>
      </c>
      <c r="S1277" s="4" t="s">
        <v>119</v>
      </c>
      <c r="T1277" s="33">
        <v>46106</v>
      </c>
      <c r="U1277" s="6">
        <v>675</v>
      </c>
      <c r="V1277" s="7">
        <v>0.1</v>
      </c>
      <c r="W1277" s="4">
        <v>1</v>
      </c>
      <c r="X1277" s="8">
        <v>46023</v>
      </c>
    </row>
    <row r="1278" spans="1:24" ht="14">
      <c r="A1278" s="4" t="s">
        <v>5</v>
      </c>
      <c r="B1278" s="4" t="s">
        <v>398</v>
      </c>
      <c r="C1278" s="9" t="s">
        <v>2817</v>
      </c>
      <c r="D1278" s="46" t="s">
        <v>2818</v>
      </c>
      <c r="E1278" s="29">
        <v>18298294622607</v>
      </c>
      <c r="F1278" s="9" t="s">
        <v>2238</v>
      </c>
      <c r="G1278" s="43">
        <v>46106</v>
      </c>
      <c r="H1278" s="9" t="s">
        <v>856</v>
      </c>
      <c r="I1278" s="9" t="s">
        <v>459</v>
      </c>
      <c r="J1278" s="9"/>
      <c r="K1278" s="67" t="b">
        <v>1</v>
      </c>
      <c r="N1278" s="67" t="b">
        <v>1</v>
      </c>
      <c r="S1278" s="8"/>
    </row>
    <row r="1279" spans="1:24" ht="14">
      <c r="A1279" s="4" t="s">
        <v>5</v>
      </c>
      <c r="B1279" s="4" t="s">
        <v>119</v>
      </c>
      <c r="C1279" s="9" t="s">
        <v>2819</v>
      </c>
      <c r="D1279" s="46" t="s">
        <v>2820</v>
      </c>
      <c r="E1279" s="29">
        <v>34616156111</v>
      </c>
      <c r="F1279" s="9" t="s">
        <v>636</v>
      </c>
      <c r="G1279" s="43">
        <v>46106</v>
      </c>
      <c r="H1279" s="9" t="s">
        <v>856</v>
      </c>
      <c r="I1279" s="9" t="s">
        <v>459</v>
      </c>
      <c r="J1279" s="9"/>
      <c r="K1279" s="67" t="b">
        <v>1</v>
      </c>
      <c r="N1279" s="67" t="b">
        <v>1</v>
      </c>
      <c r="S1279" s="8"/>
    </row>
    <row r="1280" spans="1:24" ht="14">
      <c r="A1280" s="4" t="s">
        <v>5</v>
      </c>
      <c r="B1280" s="4" t="s">
        <v>398</v>
      </c>
      <c r="C1280" s="9" t="s">
        <v>2821</v>
      </c>
      <c r="D1280" s="46" t="s">
        <v>2822</v>
      </c>
      <c r="E1280" s="29">
        <v>34686587379</v>
      </c>
      <c r="F1280" s="9" t="s">
        <v>82</v>
      </c>
      <c r="G1280" s="43">
        <v>46107</v>
      </c>
      <c r="H1280" s="9" t="s">
        <v>856</v>
      </c>
      <c r="I1280" s="9" t="s">
        <v>459</v>
      </c>
      <c r="J1280" s="9"/>
      <c r="K1280" s="67" t="b">
        <v>1</v>
      </c>
      <c r="L1280" s="4"/>
      <c r="M1280" s="4"/>
      <c r="N1280" s="67" t="b">
        <v>1</v>
      </c>
      <c r="O1280" s="4"/>
      <c r="P1280" s="4"/>
      <c r="Q1280" s="4"/>
      <c r="R1280" s="4"/>
      <c r="S1280" s="8"/>
    </row>
    <row r="1281" spans="1:24" ht="14">
      <c r="A1281" s="4" t="s">
        <v>5</v>
      </c>
      <c r="B1281" s="4" t="s">
        <v>119</v>
      </c>
      <c r="C1281" s="9" t="s">
        <v>2823</v>
      </c>
      <c r="D1281" s="46" t="s">
        <v>2824</v>
      </c>
      <c r="E1281" s="29">
        <v>56961341005</v>
      </c>
      <c r="F1281" s="9" t="s">
        <v>307</v>
      </c>
      <c r="G1281" s="43">
        <v>46107</v>
      </c>
      <c r="H1281" s="9" t="s">
        <v>856</v>
      </c>
      <c r="I1281" s="9" t="s">
        <v>459</v>
      </c>
      <c r="J1281" s="9"/>
      <c r="K1281" s="67" t="b">
        <v>1</v>
      </c>
      <c r="L1281" s="4"/>
      <c r="M1281" s="4"/>
      <c r="N1281" s="67" t="b">
        <v>1</v>
      </c>
      <c r="O1281" s="4"/>
      <c r="P1281" s="4"/>
      <c r="Q1281" s="4"/>
      <c r="R1281" s="4"/>
      <c r="S1281" s="8"/>
    </row>
    <row r="1282" spans="1:24" ht="12.5">
      <c r="A1282" s="4" t="s">
        <v>5</v>
      </c>
      <c r="B1282" s="4" t="s">
        <v>398</v>
      </c>
      <c r="C1282" s="9"/>
      <c r="D1282" s="9"/>
      <c r="E1282" s="9" t="s">
        <v>2825</v>
      </c>
      <c r="F1282" s="9" t="s">
        <v>702</v>
      </c>
      <c r="G1282" s="43">
        <v>46107</v>
      </c>
      <c r="H1282" s="9" t="s">
        <v>956</v>
      </c>
      <c r="I1282" s="9" t="s">
        <v>459</v>
      </c>
      <c r="J1282" s="9"/>
      <c r="K1282" s="67" t="b">
        <v>1</v>
      </c>
      <c r="L1282" s="4"/>
      <c r="M1282" s="4"/>
      <c r="N1282" s="67" t="b">
        <v>1</v>
      </c>
      <c r="O1282" s="4"/>
      <c r="P1282" s="4"/>
      <c r="Q1282" s="4"/>
      <c r="R1282" s="4"/>
      <c r="S1282" s="8"/>
    </row>
    <row r="1283" spans="1:24" ht="12.5">
      <c r="A1283" s="4" t="s">
        <v>5</v>
      </c>
      <c r="B1283" s="4" t="s">
        <v>119</v>
      </c>
      <c r="E1283" s="4" t="s">
        <v>2826</v>
      </c>
      <c r="F1283" s="9" t="s">
        <v>702</v>
      </c>
      <c r="G1283" s="43">
        <v>46107</v>
      </c>
      <c r="H1283" s="9" t="s">
        <v>956</v>
      </c>
      <c r="I1283" s="9" t="s">
        <v>459</v>
      </c>
      <c r="J1283" s="9"/>
      <c r="K1283" s="67" t="b">
        <v>1</v>
      </c>
      <c r="L1283" s="4"/>
      <c r="M1283" s="4"/>
      <c r="N1283" s="67" t="b">
        <v>1</v>
      </c>
      <c r="O1283" s="4"/>
      <c r="P1283" s="4"/>
      <c r="Q1283" s="4"/>
      <c r="R1283" s="4"/>
      <c r="S1283" s="8"/>
    </row>
    <row r="1284" spans="1:24" ht="12.5">
      <c r="A1284" s="4" t="s">
        <v>5</v>
      </c>
      <c r="B1284" s="4" t="s">
        <v>398</v>
      </c>
      <c r="E1284" s="4" t="s">
        <v>2827</v>
      </c>
      <c r="F1284" s="4" t="s">
        <v>2828</v>
      </c>
      <c r="G1284" s="43">
        <v>46107</v>
      </c>
      <c r="H1284" s="9" t="s">
        <v>956</v>
      </c>
      <c r="I1284" s="9" t="s">
        <v>459</v>
      </c>
      <c r="J1284" s="9"/>
      <c r="K1284" s="67" t="b">
        <v>1</v>
      </c>
      <c r="L1284" s="4"/>
      <c r="M1284" s="4"/>
      <c r="N1284" s="67" t="b">
        <v>1</v>
      </c>
      <c r="O1284" s="4"/>
      <c r="P1284" s="4"/>
      <c r="Q1284" s="4"/>
      <c r="R1284" s="4"/>
      <c r="S1284" s="8"/>
    </row>
    <row r="1285" spans="1:24" ht="12.5">
      <c r="A1285" s="4" t="s">
        <v>5</v>
      </c>
      <c r="B1285" s="4" t="s">
        <v>119</v>
      </c>
      <c r="C1285" s="4" t="s">
        <v>2829</v>
      </c>
      <c r="D1285" s="4" t="s">
        <v>2830</v>
      </c>
      <c r="E1285" s="4">
        <v>3400000000000</v>
      </c>
      <c r="F1285" s="4" t="s">
        <v>33</v>
      </c>
      <c r="G1285" s="32">
        <v>46107</v>
      </c>
      <c r="H1285" s="4" t="s">
        <v>856</v>
      </c>
      <c r="I1285" s="4" t="s">
        <v>448</v>
      </c>
      <c r="L1285" s="68" t="b">
        <v>1</v>
      </c>
      <c r="N1285" s="67" t="b">
        <v>1</v>
      </c>
      <c r="S1285" s="4" t="s">
        <v>119</v>
      </c>
      <c r="T1285" s="33">
        <v>46119</v>
      </c>
      <c r="U1285" s="6">
        <v>110</v>
      </c>
      <c r="V1285" s="4">
        <v>0</v>
      </c>
      <c r="W1285" s="4">
        <v>1</v>
      </c>
      <c r="X1285" s="8">
        <v>46023</v>
      </c>
    </row>
    <row r="1286" spans="1:24" ht="12.5">
      <c r="A1286" s="4" t="s">
        <v>5</v>
      </c>
      <c r="B1286" s="4" t="s">
        <v>398</v>
      </c>
      <c r="E1286" s="4" t="s">
        <v>2831</v>
      </c>
      <c r="F1286" s="4" t="s">
        <v>2832</v>
      </c>
      <c r="G1286" s="43">
        <v>46107</v>
      </c>
      <c r="H1286" s="9" t="s">
        <v>956</v>
      </c>
      <c r="I1286" s="9" t="s">
        <v>459</v>
      </c>
      <c r="J1286" s="9"/>
      <c r="K1286" s="67" t="b">
        <v>1</v>
      </c>
      <c r="L1286" s="4"/>
      <c r="M1286" s="4"/>
      <c r="N1286" s="67" t="b">
        <v>1</v>
      </c>
      <c r="O1286" s="4"/>
      <c r="P1286" s="4"/>
      <c r="Q1286" s="4"/>
      <c r="R1286" s="4"/>
      <c r="S1286" s="8"/>
    </row>
    <row r="1287" spans="1:24" ht="14.5">
      <c r="A1287" s="4" t="s">
        <v>5</v>
      </c>
      <c r="B1287" s="4" t="s">
        <v>119</v>
      </c>
      <c r="C1287" s="53" t="s">
        <v>2833</v>
      </c>
      <c r="F1287" s="53" t="s">
        <v>2834</v>
      </c>
      <c r="G1287" s="43">
        <v>46107</v>
      </c>
      <c r="I1287" s="4" t="s">
        <v>459</v>
      </c>
      <c r="J1287" s="4"/>
      <c r="K1287" s="4"/>
      <c r="L1287" s="68" t="b">
        <v>1</v>
      </c>
      <c r="M1287" s="4"/>
      <c r="N1287" s="67" t="b">
        <v>1</v>
      </c>
      <c r="O1287" s="4"/>
      <c r="P1287" s="4"/>
      <c r="Q1287" s="4"/>
      <c r="R1287" s="4"/>
      <c r="S1287" s="8"/>
    </row>
    <row r="1288" spans="1:24" ht="12.5">
      <c r="B1288" s="4" t="s">
        <v>398</v>
      </c>
      <c r="E1288" s="4" t="s">
        <v>2835</v>
      </c>
      <c r="F1288" s="4" t="s">
        <v>1656</v>
      </c>
      <c r="G1288" s="43">
        <v>46107</v>
      </c>
      <c r="H1288" s="9" t="s">
        <v>956</v>
      </c>
      <c r="I1288" s="9" t="s">
        <v>459</v>
      </c>
      <c r="J1288" s="4"/>
      <c r="K1288" s="67" t="b">
        <v>1</v>
      </c>
      <c r="L1288" s="4"/>
      <c r="M1288" s="4"/>
      <c r="N1288" s="67" t="b">
        <v>1</v>
      </c>
      <c r="O1288" s="4"/>
      <c r="P1288" s="4"/>
      <c r="Q1288" s="4"/>
      <c r="R1288" s="4"/>
      <c r="S1288" s="8"/>
    </row>
    <row r="1289" spans="1:24" ht="12.5">
      <c r="B1289" s="4" t="s">
        <v>119</v>
      </c>
      <c r="E1289" s="4" t="s">
        <v>2836</v>
      </c>
      <c r="F1289" s="4" t="s">
        <v>2837</v>
      </c>
      <c r="I1289" s="4" t="s">
        <v>459</v>
      </c>
      <c r="J1289" s="4"/>
      <c r="K1289" s="67" t="b">
        <v>1</v>
      </c>
      <c r="L1289" s="4"/>
      <c r="M1289" s="4"/>
      <c r="N1289" s="67" t="b">
        <v>1</v>
      </c>
      <c r="O1289" s="4"/>
      <c r="P1289" s="4"/>
      <c r="Q1289" s="4"/>
      <c r="R1289" s="4"/>
      <c r="S1289" s="8"/>
    </row>
    <row r="1290" spans="1:24" ht="12.5">
      <c r="A1290" s="4" t="s">
        <v>5</v>
      </c>
      <c r="B1290" s="4" t="s">
        <v>398</v>
      </c>
      <c r="C1290" s="4" t="s">
        <v>2838</v>
      </c>
      <c r="D1290" s="4" t="s">
        <v>2839</v>
      </c>
      <c r="E1290" s="4">
        <v>34675229787</v>
      </c>
      <c r="F1290" s="4" t="s">
        <v>2238</v>
      </c>
      <c r="G1290" s="32">
        <v>46107</v>
      </c>
      <c r="H1290" s="4" t="s">
        <v>856</v>
      </c>
      <c r="I1290" s="4" t="s">
        <v>459</v>
      </c>
      <c r="K1290" s="67" t="b">
        <v>1</v>
      </c>
      <c r="N1290" s="67" t="b">
        <v>1</v>
      </c>
      <c r="Q1290" s="67" t="b">
        <v>1</v>
      </c>
      <c r="S1290" s="8"/>
    </row>
    <row r="1291" spans="1:24" ht="14">
      <c r="A1291" s="9" t="s">
        <v>5</v>
      </c>
      <c r="B1291" s="4" t="s">
        <v>119</v>
      </c>
      <c r="C1291" s="47"/>
      <c r="D1291" s="46"/>
      <c r="F1291" s="46"/>
      <c r="G1291" s="43">
        <v>46107</v>
      </c>
      <c r="I1291" s="4"/>
      <c r="J1291" s="4"/>
      <c r="K1291" s="4"/>
      <c r="L1291" s="4"/>
      <c r="M1291" s="4"/>
      <c r="N1291" s="67" t="b">
        <v>1</v>
      </c>
      <c r="O1291" s="4"/>
      <c r="P1291" s="4"/>
      <c r="Q1291" s="4"/>
      <c r="R1291" s="4"/>
      <c r="S1291" s="4"/>
      <c r="T1291" s="33"/>
      <c r="U1291" s="6"/>
      <c r="X1291" s="8"/>
    </row>
    <row r="1292" spans="1:24" ht="14">
      <c r="A1292" s="9" t="s">
        <v>381</v>
      </c>
      <c r="B1292" s="4" t="s">
        <v>398</v>
      </c>
      <c r="C1292" s="46" t="s">
        <v>2840</v>
      </c>
      <c r="D1292" s="46" t="s">
        <v>382</v>
      </c>
      <c r="E1292" s="4">
        <v>648878176</v>
      </c>
      <c r="F1292" s="46" t="s">
        <v>2841</v>
      </c>
      <c r="G1292" s="43">
        <v>46107</v>
      </c>
      <c r="H1292" s="4" t="s">
        <v>856</v>
      </c>
      <c r="I1292" s="4" t="s">
        <v>448</v>
      </c>
      <c r="J1292" s="68" t="b">
        <v>1</v>
      </c>
      <c r="K1292" s="67" t="b">
        <v>1</v>
      </c>
      <c r="N1292" s="67" t="b">
        <v>1</v>
      </c>
      <c r="Q1292" s="67" t="b">
        <v>1</v>
      </c>
      <c r="S1292" s="4" t="s">
        <v>119</v>
      </c>
      <c r="T1292" s="33">
        <v>46112</v>
      </c>
      <c r="U1292" s="6">
        <v>980</v>
      </c>
      <c r="V1292" s="7">
        <v>0.3</v>
      </c>
      <c r="W1292" s="4">
        <v>1</v>
      </c>
      <c r="X1292" s="8">
        <v>46023</v>
      </c>
    </row>
    <row r="1293" spans="1:24" ht="14.5">
      <c r="A1293" s="9" t="s">
        <v>5</v>
      </c>
      <c r="B1293" s="4" t="s">
        <v>119</v>
      </c>
      <c r="C1293" s="46" t="s">
        <v>2842</v>
      </c>
      <c r="D1293" s="46"/>
      <c r="E1293" s="4" t="s">
        <v>2843</v>
      </c>
      <c r="F1293" s="96" t="s">
        <v>8</v>
      </c>
      <c r="G1293" s="43">
        <v>46107</v>
      </c>
      <c r="H1293" s="9" t="s">
        <v>956</v>
      </c>
      <c r="I1293" s="9" t="s">
        <v>459</v>
      </c>
      <c r="J1293" s="68" t="b">
        <v>1</v>
      </c>
      <c r="K1293" s="67" t="b">
        <v>1</v>
      </c>
      <c r="L1293" s="68"/>
      <c r="N1293" s="67" t="b">
        <v>1</v>
      </c>
      <c r="Q1293" s="67" t="b">
        <v>1</v>
      </c>
      <c r="S1293" s="4"/>
      <c r="T1293" s="33"/>
      <c r="U1293" s="6"/>
      <c r="X1293" s="8"/>
    </row>
    <row r="1294" spans="1:24" ht="12.5">
      <c r="A1294" s="9" t="s">
        <v>5</v>
      </c>
      <c r="B1294" s="4" t="s">
        <v>398</v>
      </c>
      <c r="C1294" s="4" t="s">
        <v>2844</v>
      </c>
      <c r="E1294" s="4" t="s">
        <v>2845</v>
      </c>
      <c r="F1294" s="4" t="s">
        <v>636</v>
      </c>
      <c r="G1294" s="43">
        <v>46107</v>
      </c>
      <c r="H1294" s="9" t="s">
        <v>956</v>
      </c>
      <c r="I1294" s="9" t="s">
        <v>459</v>
      </c>
      <c r="J1294" s="68" t="b">
        <v>1</v>
      </c>
      <c r="K1294" s="67" t="b">
        <v>1</v>
      </c>
      <c r="L1294" s="4"/>
      <c r="M1294" s="4"/>
      <c r="N1294" s="67" t="b">
        <v>1</v>
      </c>
      <c r="O1294" s="4"/>
      <c r="P1294" s="4"/>
      <c r="Q1294" s="4"/>
      <c r="R1294" s="4"/>
      <c r="S1294" s="8"/>
    </row>
    <row r="1295" spans="1:24" ht="14.5">
      <c r="A1295" s="9" t="s">
        <v>5</v>
      </c>
      <c r="B1295" s="4" t="s">
        <v>119</v>
      </c>
      <c r="C1295" s="4" t="s">
        <v>2846</v>
      </c>
      <c r="E1295" s="4" t="s">
        <v>2847</v>
      </c>
      <c r="F1295" s="96" t="s">
        <v>8</v>
      </c>
      <c r="G1295" s="43">
        <v>46107</v>
      </c>
      <c r="H1295" s="9" t="s">
        <v>956</v>
      </c>
      <c r="I1295" s="9" t="s">
        <v>886</v>
      </c>
      <c r="J1295" s="68" t="b">
        <v>1</v>
      </c>
      <c r="K1295" s="67" t="b">
        <v>1</v>
      </c>
      <c r="L1295" s="4"/>
      <c r="M1295" s="4"/>
      <c r="N1295" s="67" t="b">
        <v>1</v>
      </c>
      <c r="O1295" s="4"/>
      <c r="P1295" s="68" t="b">
        <v>1</v>
      </c>
      <c r="Q1295" s="4"/>
      <c r="R1295" s="4"/>
      <c r="S1295" s="8"/>
    </row>
    <row r="1296" spans="1:24" ht="14">
      <c r="A1296" s="9" t="s">
        <v>5</v>
      </c>
      <c r="B1296" s="4" t="s">
        <v>398</v>
      </c>
      <c r="C1296" s="46" t="s">
        <v>2848</v>
      </c>
      <c r="D1296" s="46" t="s">
        <v>2849</v>
      </c>
      <c r="E1296" s="29">
        <v>34615173763</v>
      </c>
      <c r="F1296" s="46" t="s">
        <v>375</v>
      </c>
      <c r="G1296" s="43">
        <v>46108</v>
      </c>
      <c r="H1296" s="9" t="s">
        <v>856</v>
      </c>
      <c r="I1296" s="9" t="s">
        <v>459</v>
      </c>
      <c r="J1296" s="9"/>
      <c r="K1296" s="67" t="b">
        <v>1</v>
      </c>
      <c r="L1296" s="68" t="b">
        <v>1</v>
      </c>
      <c r="M1296" s="4"/>
      <c r="N1296" s="67" t="b">
        <v>1</v>
      </c>
      <c r="O1296" s="4"/>
      <c r="P1296" s="4"/>
      <c r="Q1296" s="4"/>
      <c r="R1296" s="4"/>
      <c r="S1296" s="8"/>
    </row>
    <row r="1297" spans="1:24" ht="14">
      <c r="A1297" s="9" t="s">
        <v>381</v>
      </c>
      <c r="B1297" s="4" t="s">
        <v>119</v>
      </c>
      <c r="C1297" s="46" t="s">
        <v>2850</v>
      </c>
      <c r="D1297" s="46" t="s">
        <v>2851</v>
      </c>
      <c r="E1297" s="29">
        <v>527223900375</v>
      </c>
      <c r="F1297" s="46" t="s">
        <v>2852</v>
      </c>
      <c r="G1297" s="43">
        <v>46108</v>
      </c>
      <c r="H1297" s="9" t="s">
        <v>856</v>
      </c>
      <c r="I1297" s="9" t="s">
        <v>459</v>
      </c>
      <c r="J1297" s="9"/>
      <c r="K1297" s="67" t="b">
        <v>1</v>
      </c>
      <c r="L1297" s="68" t="b">
        <v>0</v>
      </c>
      <c r="N1297" s="67" t="b">
        <v>1</v>
      </c>
      <c r="S1297" s="8"/>
    </row>
    <row r="1298" spans="1:24" ht="14">
      <c r="A1298" s="9" t="s">
        <v>5</v>
      </c>
      <c r="B1298" s="4" t="s">
        <v>398</v>
      </c>
      <c r="C1298" s="47" t="s">
        <v>2777</v>
      </c>
      <c r="D1298" s="46" t="s">
        <v>2853</v>
      </c>
      <c r="E1298" s="4" t="s">
        <v>2854</v>
      </c>
      <c r="F1298" s="46" t="s">
        <v>284</v>
      </c>
      <c r="G1298" s="43">
        <v>46108</v>
      </c>
      <c r="H1298" s="9" t="s">
        <v>956</v>
      </c>
      <c r="I1298" s="4" t="s">
        <v>448</v>
      </c>
      <c r="J1298" s="4"/>
      <c r="K1298" s="67" t="b">
        <v>1</v>
      </c>
      <c r="L1298" s="4"/>
      <c r="M1298" s="4"/>
      <c r="N1298" s="67" t="b">
        <v>1</v>
      </c>
      <c r="O1298" s="4"/>
      <c r="P1298" s="4"/>
      <c r="Q1298" s="4"/>
      <c r="R1298" s="4"/>
      <c r="S1298" s="4" t="s">
        <v>119</v>
      </c>
      <c r="T1298" s="33">
        <v>46108</v>
      </c>
      <c r="U1298" s="6">
        <v>245</v>
      </c>
      <c r="V1298" s="4">
        <v>0</v>
      </c>
      <c r="W1298" s="4">
        <v>1</v>
      </c>
      <c r="X1298" s="8">
        <v>46023</v>
      </c>
    </row>
    <row r="1299" spans="1:24" ht="14">
      <c r="A1299" s="9" t="s">
        <v>381</v>
      </c>
      <c r="B1299" s="4" t="s">
        <v>119</v>
      </c>
      <c r="C1299" s="46" t="s">
        <v>2855</v>
      </c>
      <c r="D1299" s="46" t="s">
        <v>2856</v>
      </c>
      <c r="E1299" s="4">
        <v>40731015532</v>
      </c>
      <c r="F1299" s="46" t="s">
        <v>1835</v>
      </c>
      <c r="G1299" s="43">
        <v>46108</v>
      </c>
      <c r="H1299" s="9" t="s">
        <v>856</v>
      </c>
      <c r="I1299" s="9" t="s">
        <v>459</v>
      </c>
      <c r="K1299" s="67" t="b">
        <v>1</v>
      </c>
      <c r="N1299" s="67" t="b">
        <v>1</v>
      </c>
      <c r="Q1299" s="67" t="b">
        <v>1</v>
      </c>
      <c r="S1299" s="4"/>
      <c r="T1299" s="33"/>
      <c r="U1299" s="6"/>
      <c r="V1299" s="4"/>
      <c r="W1299" s="4"/>
      <c r="X1299" s="8"/>
    </row>
    <row r="1300" spans="1:24" ht="14">
      <c r="A1300" s="9" t="s">
        <v>5</v>
      </c>
      <c r="B1300" s="4" t="s">
        <v>398</v>
      </c>
      <c r="C1300" s="46" t="s">
        <v>2857</v>
      </c>
      <c r="D1300" s="46" t="s">
        <v>2858</v>
      </c>
      <c r="E1300" s="4">
        <v>34664593620</v>
      </c>
      <c r="F1300" s="46" t="s">
        <v>2238</v>
      </c>
      <c r="G1300" s="43">
        <v>46108</v>
      </c>
      <c r="H1300" s="9" t="s">
        <v>856</v>
      </c>
      <c r="I1300" s="9" t="s">
        <v>459</v>
      </c>
      <c r="K1300" s="67" t="b">
        <v>1</v>
      </c>
      <c r="N1300" s="67" t="b">
        <v>1</v>
      </c>
      <c r="Q1300" s="67" t="b">
        <v>1</v>
      </c>
      <c r="S1300" s="4"/>
      <c r="T1300" s="33"/>
      <c r="U1300" s="6"/>
      <c r="V1300" s="4"/>
      <c r="W1300" s="4"/>
      <c r="X1300" s="8"/>
    </row>
    <row r="1301" spans="1:24" ht="14">
      <c r="A1301" s="9" t="s">
        <v>381</v>
      </c>
      <c r="B1301" s="4" t="s">
        <v>119</v>
      </c>
      <c r="C1301" s="46" t="s">
        <v>2859</v>
      </c>
      <c r="D1301" s="46" t="s">
        <v>2860</v>
      </c>
      <c r="E1301" s="4">
        <v>34697311324</v>
      </c>
      <c r="F1301" s="46" t="s">
        <v>2861</v>
      </c>
      <c r="G1301" s="43">
        <v>46109</v>
      </c>
      <c r="H1301" s="9" t="s">
        <v>856</v>
      </c>
      <c r="I1301" s="9" t="s">
        <v>459</v>
      </c>
      <c r="J1301" s="68" t="b">
        <v>1</v>
      </c>
      <c r="K1301" s="67" t="b">
        <v>1</v>
      </c>
      <c r="N1301" s="67" t="b">
        <v>1</v>
      </c>
      <c r="Q1301" s="67" t="b">
        <v>1</v>
      </c>
      <c r="S1301" s="4"/>
      <c r="T1301" s="33"/>
      <c r="U1301" s="6"/>
      <c r="V1301" s="4"/>
      <c r="W1301" s="4"/>
      <c r="X1301" s="8"/>
    </row>
    <row r="1302" spans="1:24" ht="14">
      <c r="A1302" s="9" t="s">
        <v>5</v>
      </c>
      <c r="B1302" s="4" t="s">
        <v>398</v>
      </c>
      <c r="C1302" s="46" t="s">
        <v>2862</v>
      </c>
      <c r="D1302" s="46" t="s">
        <v>2102</v>
      </c>
      <c r="E1302" s="4">
        <v>543876124702</v>
      </c>
      <c r="F1302" s="46" t="s">
        <v>584</v>
      </c>
      <c r="G1302" s="43">
        <v>46109</v>
      </c>
      <c r="H1302" s="9" t="s">
        <v>856</v>
      </c>
      <c r="I1302" s="9" t="s">
        <v>459</v>
      </c>
      <c r="K1302" s="67" t="b">
        <v>1</v>
      </c>
      <c r="N1302" s="67" t="b">
        <v>1</v>
      </c>
      <c r="S1302" s="4"/>
      <c r="T1302" s="33"/>
      <c r="U1302" s="6"/>
      <c r="V1302" s="4"/>
      <c r="W1302" s="4"/>
      <c r="X1302" s="8"/>
    </row>
    <row r="1303" spans="1:24" ht="14">
      <c r="A1303" s="9" t="s">
        <v>5</v>
      </c>
      <c r="B1303" s="4" t="s">
        <v>119</v>
      </c>
      <c r="C1303" s="46" t="s">
        <v>2862</v>
      </c>
      <c r="D1303" s="46" t="s">
        <v>2102</v>
      </c>
      <c r="E1303" s="4">
        <v>543876124702</v>
      </c>
      <c r="F1303" s="46" t="s">
        <v>496</v>
      </c>
      <c r="G1303" s="43">
        <v>46109</v>
      </c>
      <c r="H1303" s="9" t="s">
        <v>856</v>
      </c>
      <c r="I1303" s="9" t="s">
        <v>459</v>
      </c>
      <c r="K1303" s="67" t="b">
        <v>1</v>
      </c>
      <c r="N1303" s="67" t="b">
        <v>1</v>
      </c>
      <c r="Q1303" s="67" t="b">
        <v>1</v>
      </c>
      <c r="S1303" s="4"/>
      <c r="T1303" s="33"/>
      <c r="U1303" s="6"/>
      <c r="V1303" s="4"/>
      <c r="W1303" s="4"/>
      <c r="X1303" s="8"/>
    </row>
    <row r="1304" spans="1:24" ht="14">
      <c r="A1304" s="9" t="s">
        <v>5</v>
      </c>
      <c r="B1304" s="4" t="s">
        <v>398</v>
      </c>
      <c r="C1304" s="46" t="s">
        <v>2862</v>
      </c>
      <c r="D1304" s="46" t="s">
        <v>2102</v>
      </c>
      <c r="E1304" s="4">
        <v>543876124702</v>
      </c>
      <c r="F1304" s="46" t="s">
        <v>2863</v>
      </c>
      <c r="G1304" s="43">
        <v>46109</v>
      </c>
      <c r="H1304" s="9" t="s">
        <v>856</v>
      </c>
      <c r="I1304" s="9" t="s">
        <v>459</v>
      </c>
      <c r="K1304" s="67" t="b">
        <v>1</v>
      </c>
      <c r="N1304" s="67" t="b">
        <v>1</v>
      </c>
      <c r="S1304" s="4"/>
      <c r="T1304" s="33"/>
      <c r="U1304" s="6"/>
      <c r="V1304" s="4"/>
      <c r="W1304" s="4"/>
      <c r="X1304" s="8"/>
    </row>
    <row r="1305" spans="1:24" ht="14">
      <c r="A1305" s="9" t="s">
        <v>5</v>
      </c>
      <c r="B1305" s="4" t="s">
        <v>119</v>
      </c>
      <c r="C1305" s="46" t="s">
        <v>2864</v>
      </c>
      <c r="D1305" s="46" t="s">
        <v>2865</v>
      </c>
      <c r="E1305" s="4">
        <v>573176486757</v>
      </c>
      <c r="F1305" s="46" t="s">
        <v>1277</v>
      </c>
      <c r="G1305" s="43">
        <v>46110</v>
      </c>
      <c r="H1305" s="9" t="s">
        <v>856</v>
      </c>
      <c r="I1305" s="9" t="s">
        <v>459</v>
      </c>
      <c r="K1305" s="67" t="b">
        <v>1</v>
      </c>
      <c r="N1305" s="67" t="b">
        <v>1</v>
      </c>
      <c r="S1305" s="4"/>
      <c r="T1305" s="33"/>
      <c r="U1305" s="6"/>
      <c r="V1305" s="4"/>
      <c r="W1305" s="4"/>
      <c r="X1305" s="8"/>
    </row>
    <row r="1306" spans="1:24" ht="14">
      <c r="A1306" s="9" t="s">
        <v>5</v>
      </c>
      <c r="B1306" s="4" t="s">
        <v>398</v>
      </c>
      <c r="C1306" s="46" t="s">
        <v>2864</v>
      </c>
      <c r="D1306" s="46" t="s">
        <v>2865</v>
      </c>
      <c r="E1306" s="4">
        <v>573176486757</v>
      </c>
      <c r="F1306" s="46" t="s">
        <v>2866</v>
      </c>
      <c r="G1306" s="43">
        <v>46110</v>
      </c>
      <c r="H1306" s="9" t="s">
        <v>856</v>
      </c>
      <c r="I1306" s="9" t="s">
        <v>459</v>
      </c>
      <c r="K1306" s="67" t="b">
        <v>1</v>
      </c>
      <c r="N1306" s="67" t="b">
        <v>1</v>
      </c>
      <c r="S1306" s="4"/>
      <c r="T1306" s="33"/>
      <c r="U1306" s="6"/>
      <c r="V1306" s="4"/>
      <c r="W1306" s="4"/>
      <c r="X1306" s="8"/>
    </row>
    <row r="1307" spans="1:24" ht="14">
      <c r="A1307" s="9" t="s">
        <v>381</v>
      </c>
      <c r="B1307" s="4" t="s">
        <v>119</v>
      </c>
      <c r="C1307" s="46" t="s">
        <v>2867</v>
      </c>
      <c r="D1307" s="46" t="s">
        <v>2868</v>
      </c>
      <c r="E1307" s="4">
        <v>34692958962</v>
      </c>
      <c r="F1307" s="46" t="s">
        <v>2869</v>
      </c>
      <c r="G1307" s="43">
        <v>46110</v>
      </c>
      <c r="H1307" s="9" t="s">
        <v>856</v>
      </c>
      <c r="I1307" s="9" t="s">
        <v>459</v>
      </c>
      <c r="J1307" s="68" t="b">
        <v>1</v>
      </c>
      <c r="K1307" s="67" t="b">
        <v>1</v>
      </c>
      <c r="N1307" s="67" t="b">
        <v>1</v>
      </c>
      <c r="Q1307" s="67" t="b">
        <v>1</v>
      </c>
      <c r="S1307" s="4"/>
      <c r="T1307" s="33"/>
      <c r="U1307" s="6"/>
      <c r="V1307" s="4"/>
      <c r="W1307" s="4"/>
      <c r="X1307" s="8"/>
    </row>
    <row r="1308" spans="1:24" ht="14">
      <c r="A1308" s="9" t="s">
        <v>5</v>
      </c>
      <c r="B1308" s="4" t="s">
        <v>398</v>
      </c>
      <c r="C1308" s="46" t="s">
        <v>2870</v>
      </c>
      <c r="D1308" s="46" t="s">
        <v>2871</v>
      </c>
      <c r="E1308" s="4">
        <v>525531934528</v>
      </c>
      <c r="F1308" s="46" t="s">
        <v>129</v>
      </c>
      <c r="G1308" s="43">
        <v>46111</v>
      </c>
      <c r="H1308" s="9" t="s">
        <v>856</v>
      </c>
      <c r="I1308" s="9" t="s">
        <v>459</v>
      </c>
      <c r="K1308" s="67" t="b">
        <v>1</v>
      </c>
      <c r="N1308" s="67" t="b">
        <v>1</v>
      </c>
      <c r="S1308" s="4"/>
      <c r="T1308" s="33"/>
      <c r="U1308" s="6"/>
      <c r="V1308" s="4"/>
      <c r="W1308" s="4"/>
      <c r="X1308" s="8"/>
    </row>
    <row r="1309" spans="1:24" ht="14">
      <c r="A1309" s="9" t="s">
        <v>5</v>
      </c>
      <c r="B1309" s="4" t="s">
        <v>119</v>
      </c>
      <c r="C1309" s="46" t="s">
        <v>2872</v>
      </c>
      <c r="D1309" s="46" t="s">
        <v>2873</v>
      </c>
      <c r="E1309" s="4">
        <v>34639214415</v>
      </c>
      <c r="F1309" s="46" t="s">
        <v>395</v>
      </c>
      <c r="G1309" s="43">
        <v>46111</v>
      </c>
      <c r="H1309" s="9" t="s">
        <v>856</v>
      </c>
      <c r="I1309" s="9" t="s">
        <v>886</v>
      </c>
      <c r="J1309" s="68" t="b">
        <v>1</v>
      </c>
      <c r="K1309" s="67" t="b">
        <v>1</v>
      </c>
      <c r="N1309" s="67" t="b">
        <v>1</v>
      </c>
      <c r="S1309" s="4"/>
      <c r="T1309" s="33"/>
      <c r="U1309" s="6"/>
      <c r="V1309" s="4"/>
      <c r="W1309" s="4"/>
      <c r="X1309" s="8"/>
    </row>
    <row r="1310" spans="1:24" ht="14">
      <c r="A1310" s="9" t="s">
        <v>5</v>
      </c>
      <c r="B1310" s="4" t="s">
        <v>398</v>
      </c>
      <c r="C1310" s="46" t="s">
        <v>390</v>
      </c>
      <c r="D1310" s="46" t="s">
        <v>391</v>
      </c>
      <c r="E1310" s="4">
        <v>524494338590</v>
      </c>
      <c r="F1310" s="46" t="s">
        <v>70</v>
      </c>
      <c r="G1310" s="43">
        <v>46112</v>
      </c>
      <c r="H1310" s="9" t="s">
        <v>856</v>
      </c>
      <c r="I1310" s="4" t="s">
        <v>459</v>
      </c>
      <c r="K1310" s="67" t="b">
        <v>1</v>
      </c>
      <c r="N1310" s="67" t="b">
        <v>1</v>
      </c>
      <c r="S1310" s="4"/>
      <c r="T1310" s="33"/>
      <c r="U1310" s="6"/>
      <c r="V1310" s="4"/>
      <c r="W1310" s="4"/>
      <c r="X1310" s="8"/>
    </row>
    <row r="1311" spans="1:24" ht="12.5">
      <c r="A1311" s="9" t="s">
        <v>5</v>
      </c>
      <c r="B1311" s="4" t="s">
        <v>119</v>
      </c>
      <c r="C1311" s="4" t="s">
        <v>2874</v>
      </c>
      <c r="E1311" s="4" t="s">
        <v>2875</v>
      </c>
      <c r="F1311" s="4" t="s">
        <v>2238</v>
      </c>
      <c r="G1311" s="43">
        <v>46112</v>
      </c>
      <c r="H1311" s="9" t="s">
        <v>956</v>
      </c>
      <c r="I1311" s="9" t="s">
        <v>459</v>
      </c>
      <c r="J1311" s="68"/>
      <c r="K1311" s="67" t="b">
        <v>1</v>
      </c>
      <c r="L1311" s="4"/>
      <c r="M1311" s="4"/>
      <c r="N1311" s="67" t="b">
        <v>1</v>
      </c>
      <c r="O1311" s="4"/>
      <c r="P1311" s="4"/>
      <c r="Q1311" s="67" t="b">
        <v>1</v>
      </c>
      <c r="R1311" s="4"/>
      <c r="S1311" s="8"/>
    </row>
    <row r="1312" spans="1:24" ht="12.5">
      <c r="A1312" s="9" t="s">
        <v>5</v>
      </c>
      <c r="B1312" s="4" t="s">
        <v>398</v>
      </c>
      <c r="C1312" s="4" t="s">
        <v>2876</v>
      </c>
      <c r="E1312" s="4" t="s">
        <v>2877</v>
      </c>
      <c r="F1312" s="4" t="s">
        <v>2878</v>
      </c>
      <c r="G1312" s="43">
        <v>46112</v>
      </c>
      <c r="H1312" s="9" t="s">
        <v>956</v>
      </c>
      <c r="I1312" s="9" t="s">
        <v>459</v>
      </c>
      <c r="J1312" s="68"/>
      <c r="K1312" s="67" t="b">
        <v>1</v>
      </c>
      <c r="L1312" s="4"/>
      <c r="M1312" s="4"/>
      <c r="N1312" s="67" t="b">
        <v>1</v>
      </c>
      <c r="O1312" s="4"/>
      <c r="P1312" s="4"/>
      <c r="Q1312" s="4"/>
      <c r="R1312" s="4"/>
      <c r="S1312" s="8"/>
    </row>
    <row r="1313" spans="1:24" ht="12.5">
      <c r="A1313" s="9" t="s">
        <v>5</v>
      </c>
      <c r="B1313" s="4" t="s">
        <v>119</v>
      </c>
      <c r="C1313" s="4" t="s">
        <v>2879</v>
      </c>
      <c r="E1313" s="4" t="s">
        <v>2880</v>
      </c>
      <c r="F1313" s="4" t="s">
        <v>2881</v>
      </c>
      <c r="G1313" s="43">
        <v>46112</v>
      </c>
      <c r="H1313" s="9" t="s">
        <v>956</v>
      </c>
      <c r="I1313" s="9" t="s">
        <v>459</v>
      </c>
      <c r="J1313" s="68"/>
      <c r="K1313" s="67" t="b">
        <v>1</v>
      </c>
      <c r="L1313" s="4"/>
      <c r="M1313" s="4"/>
      <c r="N1313" s="67" t="b">
        <v>1</v>
      </c>
      <c r="O1313" s="4"/>
      <c r="P1313" s="4"/>
      <c r="Q1313" s="67" t="b">
        <v>1</v>
      </c>
      <c r="R1313" s="4"/>
      <c r="S1313" s="8"/>
    </row>
    <row r="1314" spans="1:24" ht="12.5">
      <c r="A1314" s="9" t="s">
        <v>5</v>
      </c>
      <c r="B1314" s="4" t="s">
        <v>398</v>
      </c>
      <c r="E1314" s="4" t="s">
        <v>2882</v>
      </c>
      <c r="F1314" s="4" t="s">
        <v>2878</v>
      </c>
      <c r="G1314" s="43">
        <v>46112</v>
      </c>
      <c r="H1314" s="9" t="s">
        <v>956</v>
      </c>
      <c r="I1314" s="9" t="s">
        <v>459</v>
      </c>
      <c r="J1314" s="68"/>
      <c r="K1314" s="67" t="b">
        <v>1</v>
      </c>
      <c r="L1314" s="4"/>
      <c r="M1314" s="4"/>
      <c r="N1314" s="67" t="b">
        <v>1</v>
      </c>
      <c r="O1314" s="4"/>
      <c r="P1314" s="4"/>
      <c r="Q1314" s="4"/>
      <c r="R1314" s="4"/>
      <c r="S1314" s="8"/>
    </row>
    <row r="1315" spans="1:24" ht="12.5">
      <c r="A1315" s="9" t="s">
        <v>5</v>
      </c>
      <c r="B1315" s="4" t="s">
        <v>119</v>
      </c>
      <c r="C1315" s="4" t="s">
        <v>2883</v>
      </c>
      <c r="E1315" s="4" t="s">
        <v>2884</v>
      </c>
      <c r="F1315" s="4" t="s">
        <v>1055</v>
      </c>
      <c r="G1315" s="43">
        <v>46112</v>
      </c>
      <c r="H1315" s="9" t="s">
        <v>956</v>
      </c>
      <c r="I1315" s="9" t="s">
        <v>459</v>
      </c>
      <c r="J1315" s="68"/>
      <c r="K1315" s="67" t="b">
        <v>1</v>
      </c>
      <c r="L1315" s="4"/>
      <c r="M1315" s="4"/>
      <c r="N1315" s="67" t="b">
        <v>1</v>
      </c>
      <c r="O1315" s="4"/>
      <c r="P1315" s="4"/>
      <c r="Q1315" s="67" t="b">
        <v>1</v>
      </c>
      <c r="R1315" s="4"/>
      <c r="S1315" s="8"/>
    </row>
    <row r="1316" spans="1:24" ht="12.5">
      <c r="A1316" s="9" t="s">
        <v>5</v>
      </c>
      <c r="B1316" s="4" t="s">
        <v>398</v>
      </c>
      <c r="C1316" s="4" t="s">
        <v>2885</v>
      </c>
      <c r="E1316" s="4" t="s">
        <v>2886</v>
      </c>
      <c r="F1316" s="4" t="s">
        <v>70</v>
      </c>
      <c r="G1316" s="43">
        <v>46112</v>
      </c>
      <c r="H1316" s="9" t="s">
        <v>956</v>
      </c>
      <c r="I1316" s="9" t="s">
        <v>459</v>
      </c>
      <c r="J1316" s="68"/>
      <c r="K1316" s="67" t="b">
        <v>1</v>
      </c>
      <c r="L1316" s="4"/>
      <c r="M1316" s="4"/>
      <c r="N1316" s="67" t="b">
        <v>1</v>
      </c>
      <c r="O1316" s="4"/>
      <c r="P1316" s="4"/>
      <c r="Q1316" s="4"/>
      <c r="R1316" s="4"/>
      <c r="S1316" s="8"/>
    </row>
    <row r="1317" spans="1:24" ht="12.5">
      <c r="A1317" s="9" t="s">
        <v>5</v>
      </c>
      <c r="B1317" s="4" t="s">
        <v>119</v>
      </c>
      <c r="E1317" s="4" t="s">
        <v>2887</v>
      </c>
      <c r="F1317" s="4" t="s">
        <v>584</v>
      </c>
      <c r="G1317" s="43">
        <v>46112</v>
      </c>
      <c r="H1317" s="9" t="s">
        <v>956</v>
      </c>
      <c r="I1317" s="9" t="s">
        <v>459</v>
      </c>
      <c r="J1317" s="68"/>
      <c r="K1317" s="67" t="b">
        <v>1</v>
      </c>
      <c r="L1317" s="4"/>
      <c r="M1317" s="4"/>
      <c r="N1317" s="67" t="b">
        <v>1</v>
      </c>
      <c r="O1317" s="4"/>
      <c r="P1317" s="4"/>
      <c r="Q1317" s="4"/>
      <c r="R1317" s="4"/>
      <c r="S1317" s="8"/>
    </row>
    <row r="1318" spans="1:24" ht="12.5">
      <c r="A1318" s="9" t="s">
        <v>5</v>
      </c>
      <c r="B1318" s="4" t="s">
        <v>398</v>
      </c>
      <c r="E1318" s="4" t="s">
        <v>2888</v>
      </c>
      <c r="F1318" s="4" t="s">
        <v>2889</v>
      </c>
      <c r="G1318" s="43">
        <v>46112</v>
      </c>
      <c r="H1318" s="9" t="s">
        <v>956</v>
      </c>
      <c r="I1318" s="9" t="s">
        <v>459</v>
      </c>
      <c r="J1318" s="68"/>
      <c r="K1318" s="67" t="b">
        <v>1</v>
      </c>
      <c r="L1318" s="4"/>
      <c r="M1318" s="4"/>
      <c r="N1318" s="67" t="b">
        <v>1</v>
      </c>
      <c r="O1318" s="4"/>
      <c r="P1318" s="4"/>
      <c r="Q1318" s="4"/>
      <c r="R1318" s="4"/>
      <c r="S1318" s="8"/>
    </row>
    <row r="1319" spans="1:24" ht="12.5">
      <c r="A1319" s="9" t="s">
        <v>5</v>
      </c>
      <c r="B1319" s="4" t="s">
        <v>119</v>
      </c>
      <c r="C1319" s="4" t="s">
        <v>2890</v>
      </c>
      <c r="E1319" s="4" t="s">
        <v>2891</v>
      </c>
      <c r="F1319" s="4" t="s">
        <v>792</v>
      </c>
      <c r="G1319" s="43">
        <v>46112</v>
      </c>
      <c r="H1319" s="9" t="s">
        <v>956</v>
      </c>
      <c r="I1319" s="9" t="s">
        <v>459</v>
      </c>
      <c r="J1319" s="68"/>
      <c r="K1319" s="67" t="b">
        <v>1</v>
      </c>
      <c r="L1319" s="4"/>
      <c r="M1319" s="4"/>
      <c r="N1319" s="67" t="b">
        <v>1</v>
      </c>
      <c r="O1319" s="4"/>
      <c r="P1319" s="4"/>
      <c r="Q1319" s="67" t="b">
        <v>1</v>
      </c>
      <c r="R1319" s="4"/>
      <c r="S1319" s="8"/>
    </row>
    <row r="1320" spans="1:24" ht="12.5">
      <c r="A1320" s="9" t="s">
        <v>5</v>
      </c>
      <c r="B1320" s="4" t="s">
        <v>398</v>
      </c>
      <c r="C1320" s="4" t="s">
        <v>2892</v>
      </c>
      <c r="E1320" s="4" t="s">
        <v>2893</v>
      </c>
      <c r="F1320" s="4" t="s">
        <v>636</v>
      </c>
      <c r="G1320" s="43">
        <v>46112</v>
      </c>
      <c r="H1320" s="9" t="s">
        <v>956</v>
      </c>
      <c r="I1320" s="9" t="s">
        <v>459</v>
      </c>
      <c r="J1320" s="68"/>
      <c r="K1320" s="67" t="b">
        <v>1</v>
      </c>
      <c r="L1320" s="4"/>
      <c r="M1320" s="4"/>
      <c r="N1320" s="67" t="b">
        <v>1</v>
      </c>
      <c r="O1320" s="4"/>
      <c r="P1320" s="4"/>
      <c r="Q1320" s="4"/>
      <c r="R1320" s="4"/>
      <c r="S1320" s="8"/>
    </row>
    <row r="1321" spans="1:24" ht="12.5">
      <c r="A1321" s="9" t="s">
        <v>5</v>
      </c>
      <c r="B1321" s="4" t="s">
        <v>119</v>
      </c>
      <c r="C1321" s="4" t="s">
        <v>2894</v>
      </c>
      <c r="E1321" s="4" t="s">
        <v>2895</v>
      </c>
      <c r="F1321" s="4" t="s">
        <v>2878</v>
      </c>
      <c r="G1321" s="43">
        <v>46112</v>
      </c>
      <c r="H1321" s="9" t="s">
        <v>956</v>
      </c>
      <c r="I1321" s="9" t="s">
        <v>459</v>
      </c>
      <c r="J1321" s="68"/>
      <c r="K1321" s="67" t="b">
        <v>1</v>
      </c>
      <c r="L1321" s="4"/>
      <c r="M1321" s="4"/>
      <c r="N1321" s="67" t="b">
        <v>1</v>
      </c>
      <c r="O1321" s="4"/>
      <c r="P1321" s="4"/>
      <c r="Q1321" s="67" t="b">
        <v>1</v>
      </c>
      <c r="R1321" s="4"/>
      <c r="S1321" s="8"/>
    </row>
    <row r="1322" spans="1:24" ht="12.5">
      <c r="A1322" s="4" t="s">
        <v>240</v>
      </c>
      <c r="B1322" s="4" t="s">
        <v>398</v>
      </c>
      <c r="C1322" s="4" t="s">
        <v>2896</v>
      </c>
      <c r="E1322" s="4" t="s">
        <v>2897</v>
      </c>
      <c r="G1322" s="43">
        <v>46112</v>
      </c>
      <c r="H1322" s="9" t="s">
        <v>956</v>
      </c>
      <c r="I1322" s="9" t="s">
        <v>459</v>
      </c>
      <c r="J1322" s="68"/>
      <c r="K1322" s="67" t="b">
        <v>1</v>
      </c>
      <c r="L1322" s="4"/>
      <c r="M1322" s="4"/>
      <c r="N1322" s="67" t="b">
        <v>1</v>
      </c>
      <c r="O1322" s="4"/>
      <c r="P1322" s="4"/>
      <c r="Q1322" s="4"/>
      <c r="R1322" s="4"/>
      <c r="S1322" s="8"/>
    </row>
    <row r="1323" spans="1:24" ht="12.5">
      <c r="A1323" s="9" t="s">
        <v>5</v>
      </c>
      <c r="B1323" s="4" t="s">
        <v>119</v>
      </c>
      <c r="C1323" s="4" t="s">
        <v>2898</v>
      </c>
      <c r="E1323" s="4" t="s">
        <v>2899</v>
      </c>
      <c r="F1323" s="4" t="s">
        <v>2832</v>
      </c>
      <c r="G1323" s="43">
        <v>46112</v>
      </c>
      <c r="H1323" s="9" t="s">
        <v>956</v>
      </c>
      <c r="I1323" s="9" t="s">
        <v>459</v>
      </c>
      <c r="J1323" s="68"/>
      <c r="K1323" s="67" t="b">
        <v>1</v>
      </c>
      <c r="L1323" s="4"/>
      <c r="M1323" s="4"/>
      <c r="N1323" s="67" t="b">
        <v>1</v>
      </c>
      <c r="O1323" s="4"/>
      <c r="P1323" s="4"/>
      <c r="Q1323" s="67" t="b">
        <v>1</v>
      </c>
      <c r="R1323" s="4"/>
      <c r="S1323" s="8"/>
    </row>
    <row r="1324" spans="1:24" ht="12.5">
      <c r="B1324" s="4" t="s">
        <v>398</v>
      </c>
      <c r="C1324" s="4" t="s">
        <v>2876</v>
      </c>
      <c r="E1324" s="4" t="s">
        <v>2877</v>
      </c>
      <c r="F1324" s="4" t="s">
        <v>2878</v>
      </c>
      <c r="G1324" s="43">
        <v>46112</v>
      </c>
      <c r="H1324" s="9" t="s">
        <v>956</v>
      </c>
      <c r="I1324" s="9" t="s">
        <v>459</v>
      </c>
      <c r="J1324" s="68"/>
      <c r="K1324" s="67" t="b">
        <v>1</v>
      </c>
      <c r="L1324" s="4"/>
      <c r="M1324" s="4"/>
      <c r="N1324" s="67" t="b">
        <v>1</v>
      </c>
      <c r="O1324" s="4"/>
      <c r="P1324" s="4"/>
      <c r="Q1324" s="4"/>
      <c r="R1324" s="4"/>
      <c r="S1324" s="8"/>
    </row>
    <row r="1325" spans="1:24" ht="12.5">
      <c r="B1325" s="4" t="s">
        <v>119</v>
      </c>
      <c r="C1325" s="4" t="s">
        <v>320</v>
      </c>
      <c r="E1325" s="4" t="s">
        <v>2900</v>
      </c>
      <c r="F1325" s="4" t="s">
        <v>2832</v>
      </c>
      <c r="I1325" s="4" t="s">
        <v>459</v>
      </c>
      <c r="J1325" s="4"/>
      <c r="K1325" s="67" t="b">
        <v>1</v>
      </c>
      <c r="L1325" s="4"/>
      <c r="M1325" s="4"/>
      <c r="N1325" s="67" t="b">
        <v>1</v>
      </c>
      <c r="O1325" s="4"/>
      <c r="P1325" s="4"/>
      <c r="Q1325" s="67" t="b">
        <v>1</v>
      </c>
      <c r="R1325" s="4"/>
      <c r="S1325" s="8"/>
    </row>
    <row r="1326" spans="1:24" ht="12.5">
      <c r="A1326" s="4" t="s">
        <v>5</v>
      </c>
      <c r="B1326" s="4" t="s">
        <v>398</v>
      </c>
      <c r="C1326" s="4" t="s">
        <v>2901</v>
      </c>
      <c r="D1326" s="4" t="s">
        <v>2902</v>
      </c>
      <c r="E1326" s="4">
        <v>34685371452</v>
      </c>
      <c r="F1326" s="4" t="s">
        <v>2238</v>
      </c>
      <c r="G1326" s="32">
        <v>46112</v>
      </c>
      <c r="H1326" s="4" t="s">
        <v>856</v>
      </c>
      <c r="I1326" s="4" t="s">
        <v>459</v>
      </c>
      <c r="K1326" s="67" t="b">
        <v>1</v>
      </c>
      <c r="N1326" s="67" t="b">
        <v>1</v>
      </c>
      <c r="Q1326" s="67" t="b">
        <v>1</v>
      </c>
      <c r="S1326" s="8"/>
    </row>
    <row r="1327" spans="1:24" ht="12.5">
      <c r="A1327" s="4" t="s">
        <v>5</v>
      </c>
      <c r="B1327" s="4" t="s">
        <v>119</v>
      </c>
      <c r="C1327" s="4" t="s">
        <v>329</v>
      </c>
      <c r="E1327" s="4" t="s">
        <v>383</v>
      </c>
      <c r="F1327" s="4" t="s">
        <v>2878</v>
      </c>
      <c r="I1327" s="4" t="s">
        <v>448</v>
      </c>
      <c r="J1327" s="4"/>
      <c r="K1327" s="67" t="b">
        <v>1</v>
      </c>
      <c r="L1327" s="4"/>
      <c r="M1327" s="4"/>
      <c r="N1327" s="67" t="b">
        <v>1</v>
      </c>
      <c r="O1327" s="4"/>
      <c r="P1327" s="4"/>
      <c r="Q1327" s="67" t="b">
        <v>1</v>
      </c>
      <c r="R1327" s="4"/>
      <c r="S1327" s="4" t="s">
        <v>119</v>
      </c>
      <c r="T1327" s="33">
        <v>46114</v>
      </c>
      <c r="U1327" s="48">
        <v>81.67</v>
      </c>
      <c r="V1327" s="7">
        <v>0.3</v>
      </c>
      <c r="W1327" s="4">
        <v>3</v>
      </c>
      <c r="X1327" s="8">
        <v>46082</v>
      </c>
    </row>
    <row r="1328" spans="1:24" ht="12.5">
      <c r="A1328" s="4" t="s">
        <v>5</v>
      </c>
      <c r="B1328" s="4" t="s">
        <v>119</v>
      </c>
      <c r="C1328" s="4" t="s">
        <v>2903</v>
      </c>
      <c r="D1328" s="4" t="s">
        <v>2903</v>
      </c>
      <c r="E1328" s="4">
        <v>6175161751</v>
      </c>
      <c r="F1328" s="4" t="s">
        <v>2881</v>
      </c>
      <c r="G1328" s="32">
        <v>46112</v>
      </c>
      <c r="H1328" s="4" t="s">
        <v>856</v>
      </c>
      <c r="I1328" s="4" t="s">
        <v>459</v>
      </c>
      <c r="K1328" s="67" t="b">
        <v>1</v>
      </c>
      <c r="N1328" s="67" t="b">
        <v>1</v>
      </c>
      <c r="S1328" s="8"/>
    </row>
    <row r="1329" spans="1:19" ht="12.5">
      <c r="A1329" s="4" t="s">
        <v>5</v>
      </c>
      <c r="B1329" s="4" t="s">
        <v>119</v>
      </c>
      <c r="C1329" s="4" t="s">
        <v>2904</v>
      </c>
      <c r="D1329" s="4" t="s">
        <v>2905</v>
      </c>
      <c r="E1329" s="4">
        <v>56950886399</v>
      </c>
      <c r="F1329" s="4" t="s">
        <v>1055</v>
      </c>
      <c r="G1329" s="32">
        <v>46113</v>
      </c>
      <c r="H1329" s="4" t="s">
        <v>856</v>
      </c>
      <c r="I1329" s="4" t="s">
        <v>459</v>
      </c>
      <c r="K1329" s="67" t="b">
        <v>1</v>
      </c>
      <c r="N1329" s="67" t="b">
        <v>1</v>
      </c>
      <c r="Q1329" s="67" t="b">
        <v>1</v>
      </c>
      <c r="S1329" s="8"/>
    </row>
    <row r="1330" spans="1:19" ht="12.5">
      <c r="A1330" s="4" t="s">
        <v>5</v>
      </c>
      <c r="B1330" s="4" t="s">
        <v>119</v>
      </c>
      <c r="C1330" s="4" t="s">
        <v>2906</v>
      </c>
      <c r="D1330" s="4" t="s">
        <v>2907</v>
      </c>
      <c r="E1330" s="4">
        <v>51994367290</v>
      </c>
      <c r="F1330" s="4" t="s">
        <v>1783</v>
      </c>
      <c r="G1330" s="32">
        <v>46113</v>
      </c>
      <c r="H1330" s="4" t="s">
        <v>856</v>
      </c>
      <c r="I1330" s="4" t="s">
        <v>459</v>
      </c>
      <c r="K1330" s="67" t="b">
        <v>1</v>
      </c>
      <c r="N1330" s="67" t="b">
        <v>1</v>
      </c>
      <c r="Q1330" s="67" t="b">
        <v>1</v>
      </c>
      <c r="S1330" s="8"/>
    </row>
    <row r="1331" spans="1:19" ht="12.5">
      <c r="A1331" s="4" t="s">
        <v>5</v>
      </c>
      <c r="B1331" s="4" t="s">
        <v>119</v>
      </c>
      <c r="C1331" s="4" t="s">
        <v>2908</v>
      </c>
      <c r="D1331" s="4" t="s">
        <v>2909</v>
      </c>
      <c r="E1331" s="4">
        <v>34617221015</v>
      </c>
      <c r="F1331" s="4" t="s">
        <v>8</v>
      </c>
      <c r="G1331" s="32">
        <v>46113</v>
      </c>
      <c r="H1331" s="4" t="s">
        <v>856</v>
      </c>
      <c r="I1331" s="4" t="s">
        <v>459</v>
      </c>
      <c r="K1331" s="67" t="b">
        <v>1</v>
      </c>
      <c r="N1331" s="67" t="b">
        <v>1</v>
      </c>
      <c r="Q1331" s="67" t="b">
        <v>1</v>
      </c>
      <c r="S1331" s="8"/>
    </row>
    <row r="1332" spans="1:19" ht="12.5">
      <c r="A1332" s="4" t="s">
        <v>5</v>
      </c>
      <c r="B1332" s="4" t="s">
        <v>119</v>
      </c>
      <c r="C1332" s="4" t="s">
        <v>2910</v>
      </c>
      <c r="D1332" s="4" t="s">
        <v>2911</v>
      </c>
      <c r="E1332" s="4">
        <v>34633666726</v>
      </c>
      <c r="F1332" s="4" t="s">
        <v>52</v>
      </c>
      <c r="G1332" s="32">
        <v>46113</v>
      </c>
      <c r="H1332" s="4" t="s">
        <v>856</v>
      </c>
      <c r="I1332" s="4" t="s">
        <v>459</v>
      </c>
      <c r="K1332" s="67" t="b">
        <v>1</v>
      </c>
      <c r="N1332" s="67" t="b">
        <v>1</v>
      </c>
      <c r="Q1332" s="67" t="b">
        <v>1</v>
      </c>
      <c r="S1332" s="8"/>
    </row>
    <row r="1333" spans="1:19" ht="12.5">
      <c r="A1333" s="4" t="s">
        <v>5</v>
      </c>
      <c r="B1333" s="4" t="s">
        <v>119</v>
      </c>
      <c r="C1333" s="4" t="s">
        <v>2912</v>
      </c>
      <c r="D1333" s="4" t="s">
        <v>2913</v>
      </c>
      <c r="E1333" s="4">
        <v>34667194078</v>
      </c>
      <c r="F1333" s="4" t="s">
        <v>70</v>
      </c>
      <c r="G1333" s="32">
        <v>46113</v>
      </c>
      <c r="H1333" s="4" t="s">
        <v>856</v>
      </c>
      <c r="I1333" s="4" t="s">
        <v>459</v>
      </c>
      <c r="K1333" s="67" t="b">
        <v>1</v>
      </c>
      <c r="N1333" s="67" t="b">
        <v>1</v>
      </c>
      <c r="Q1333" s="67" t="b">
        <v>1</v>
      </c>
      <c r="S1333" s="8"/>
    </row>
    <row r="1334" spans="1:19" ht="12.5">
      <c r="A1334" s="4" t="s">
        <v>5</v>
      </c>
      <c r="B1334" s="4" t="s">
        <v>119</v>
      </c>
      <c r="C1334" s="4" t="s">
        <v>2914</v>
      </c>
      <c r="D1334" s="4" t="s">
        <v>2915</v>
      </c>
      <c r="E1334" s="4">
        <v>56950729477</v>
      </c>
      <c r="F1334" s="4" t="s">
        <v>2238</v>
      </c>
      <c r="G1334" s="32">
        <v>46113</v>
      </c>
      <c r="H1334" s="4" t="s">
        <v>856</v>
      </c>
      <c r="I1334" s="4" t="s">
        <v>459</v>
      </c>
      <c r="K1334" s="67" t="b">
        <v>1</v>
      </c>
      <c r="N1334" s="67" t="b">
        <v>1</v>
      </c>
      <c r="Q1334" s="67" t="b">
        <v>1</v>
      </c>
      <c r="S1334" s="8"/>
    </row>
    <row r="1335" spans="1:19" ht="12.5">
      <c r="A1335" s="4" t="s">
        <v>5</v>
      </c>
      <c r="B1335" s="4" t="s">
        <v>119</v>
      </c>
      <c r="C1335" s="4" t="s">
        <v>2916</v>
      </c>
      <c r="D1335" s="4" t="s">
        <v>2917</v>
      </c>
      <c r="E1335" s="4">
        <v>51916526334</v>
      </c>
      <c r="F1335" s="4" t="s">
        <v>401</v>
      </c>
      <c r="G1335" s="32">
        <v>46113</v>
      </c>
      <c r="H1335" s="4" t="s">
        <v>856</v>
      </c>
      <c r="I1335" s="4" t="s">
        <v>459</v>
      </c>
      <c r="K1335" s="67" t="b">
        <v>1</v>
      </c>
      <c r="N1335" s="67" t="b">
        <v>1</v>
      </c>
      <c r="S1335" s="8"/>
    </row>
    <row r="1336" spans="1:19" ht="12.5">
      <c r="A1336" s="4" t="s">
        <v>5</v>
      </c>
      <c r="B1336" s="4" t="s">
        <v>119</v>
      </c>
      <c r="C1336" s="4" t="s">
        <v>2918</v>
      </c>
      <c r="D1336" s="4" t="s">
        <v>2919</v>
      </c>
      <c r="E1336" s="4">
        <v>56998299510</v>
      </c>
      <c r="F1336" s="4" t="s">
        <v>401</v>
      </c>
      <c r="G1336" s="32">
        <v>46113</v>
      </c>
      <c r="H1336" s="4" t="s">
        <v>856</v>
      </c>
      <c r="I1336" s="4" t="s">
        <v>459</v>
      </c>
      <c r="K1336" s="67" t="b">
        <v>1</v>
      </c>
      <c r="N1336" s="67" t="b">
        <v>1</v>
      </c>
      <c r="S1336" s="8"/>
    </row>
    <row r="1337" spans="1:19" ht="12.5">
      <c r="A1337" s="4" t="s">
        <v>5</v>
      </c>
      <c r="B1337" s="4" t="s">
        <v>119</v>
      </c>
      <c r="C1337" s="4" t="s">
        <v>2920</v>
      </c>
      <c r="D1337" s="4" t="s">
        <v>2921</v>
      </c>
      <c r="E1337" s="4">
        <v>525649609475</v>
      </c>
      <c r="F1337" s="4" t="s">
        <v>369</v>
      </c>
      <c r="G1337" s="32">
        <v>46113</v>
      </c>
      <c r="H1337" s="4" t="s">
        <v>856</v>
      </c>
      <c r="I1337" s="4" t="s">
        <v>459</v>
      </c>
      <c r="K1337" s="67" t="b">
        <v>1</v>
      </c>
      <c r="N1337" s="67" t="b">
        <v>1</v>
      </c>
      <c r="S1337" s="8"/>
    </row>
    <row r="1338" spans="1:19" ht="12.5">
      <c r="A1338" s="4" t="s">
        <v>5</v>
      </c>
      <c r="B1338" s="4" t="s">
        <v>119</v>
      </c>
      <c r="C1338" s="4" t="s">
        <v>2922</v>
      </c>
      <c r="D1338" s="4" t="s">
        <v>2923</v>
      </c>
      <c r="E1338" s="4">
        <v>56988186620</v>
      </c>
      <c r="F1338" s="4" t="s">
        <v>2238</v>
      </c>
      <c r="G1338" s="32">
        <v>46114</v>
      </c>
      <c r="H1338" s="4" t="s">
        <v>856</v>
      </c>
      <c r="I1338" s="4" t="s">
        <v>459</v>
      </c>
      <c r="K1338" s="67" t="b">
        <v>1</v>
      </c>
      <c r="N1338" s="67" t="b">
        <v>1</v>
      </c>
      <c r="S1338" s="8"/>
    </row>
    <row r="1339" spans="1:19" ht="12.5">
      <c r="A1339" s="4" t="s">
        <v>5</v>
      </c>
      <c r="B1339" s="4" t="s">
        <v>119</v>
      </c>
      <c r="C1339" s="4" t="s">
        <v>2924</v>
      </c>
      <c r="D1339" s="4" t="s">
        <v>2925</v>
      </c>
      <c r="E1339" s="4">
        <v>34623968131</v>
      </c>
      <c r="F1339" s="4" t="s">
        <v>70</v>
      </c>
      <c r="G1339" s="32">
        <v>46114</v>
      </c>
      <c r="H1339" s="4" t="s">
        <v>856</v>
      </c>
      <c r="I1339" s="4" t="s">
        <v>459</v>
      </c>
      <c r="K1339" s="67" t="b">
        <v>1</v>
      </c>
      <c r="N1339" s="67" t="b">
        <v>1</v>
      </c>
      <c r="Q1339" s="67" t="b">
        <v>1</v>
      </c>
      <c r="S1339" s="8"/>
    </row>
    <row r="1340" spans="1:19" ht="12.5">
      <c r="A1340" s="4" t="s">
        <v>5</v>
      </c>
      <c r="B1340" s="4" t="s">
        <v>119</v>
      </c>
      <c r="C1340" s="4" t="s">
        <v>2924</v>
      </c>
      <c r="D1340" s="4" t="s">
        <v>2925</v>
      </c>
      <c r="E1340" s="4" t="s">
        <v>3641</v>
      </c>
      <c r="F1340" s="4" t="s">
        <v>140</v>
      </c>
      <c r="G1340" s="32">
        <v>46114</v>
      </c>
      <c r="H1340" s="4" t="s">
        <v>856</v>
      </c>
      <c r="I1340" s="4" t="s">
        <v>459</v>
      </c>
      <c r="K1340" s="67" t="b">
        <v>1</v>
      </c>
      <c r="N1340" s="67" t="b">
        <v>1</v>
      </c>
      <c r="S1340" s="8"/>
    </row>
    <row r="1341" spans="1:19" ht="12.5">
      <c r="A1341" s="4" t="s">
        <v>5</v>
      </c>
      <c r="B1341" s="4" t="s">
        <v>119</v>
      </c>
      <c r="C1341" s="4" t="s">
        <v>2926</v>
      </c>
      <c r="D1341" s="4" t="s">
        <v>2927</v>
      </c>
      <c r="E1341" s="4">
        <v>18097875178</v>
      </c>
      <c r="F1341" s="4" t="s">
        <v>2928</v>
      </c>
      <c r="G1341" s="32">
        <v>46115</v>
      </c>
      <c r="H1341" s="4" t="s">
        <v>856</v>
      </c>
      <c r="I1341" s="4" t="s">
        <v>459</v>
      </c>
      <c r="K1341" s="67" t="b">
        <v>1</v>
      </c>
      <c r="N1341" s="67" t="b">
        <v>1</v>
      </c>
      <c r="S1341" s="8"/>
    </row>
    <row r="1342" spans="1:19" ht="12.5">
      <c r="A1342" s="4" t="s">
        <v>5</v>
      </c>
      <c r="B1342" s="4" t="s">
        <v>119</v>
      </c>
      <c r="C1342" s="4" t="s">
        <v>2929</v>
      </c>
      <c r="D1342" s="4" t="s">
        <v>2930</v>
      </c>
      <c r="E1342" s="4">
        <v>34607628514</v>
      </c>
      <c r="F1342" s="4" t="s">
        <v>1965</v>
      </c>
      <c r="G1342" s="32">
        <v>46115</v>
      </c>
      <c r="H1342" s="4" t="s">
        <v>856</v>
      </c>
      <c r="I1342" s="4" t="s">
        <v>459</v>
      </c>
      <c r="K1342" s="67" t="b">
        <v>1</v>
      </c>
      <c r="N1342" s="67" t="b">
        <v>1</v>
      </c>
      <c r="S1342" s="8"/>
    </row>
    <row r="1343" spans="1:19" ht="12.5">
      <c r="A1343" s="4" t="s">
        <v>5</v>
      </c>
      <c r="B1343" s="4" t="s">
        <v>119</v>
      </c>
      <c r="C1343" s="4" t="s">
        <v>2931</v>
      </c>
      <c r="D1343" s="4" t="s">
        <v>2932</v>
      </c>
      <c r="E1343" s="4">
        <v>34692962174</v>
      </c>
      <c r="F1343" s="4" t="s">
        <v>388</v>
      </c>
      <c r="G1343" s="32">
        <v>46117</v>
      </c>
      <c r="H1343" s="4" t="s">
        <v>856</v>
      </c>
      <c r="I1343" s="4" t="s">
        <v>941</v>
      </c>
      <c r="K1343" s="67" t="b">
        <v>1</v>
      </c>
      <c r="N1343" s="67" t="b">
        <v>1</v>
      </c>
      <c r="Q1343" s="67" t="b">
        <v>1</v>
      </c>
      <c r="S1343" s="8"/>
    </row>
    <row r="1344" spans="1:19" ht="12.5">
      <c r="A1344" s="4" t="s">
        <v>5</v>
      </c>
      <c r="B1344" s="4" t="s">
        <v>119</v>
      </c>
      <c r="C1344" s="4" t="s">
        <v>2933</v>
      </c>
      <c r="D1344" s="4" t="s">
        <v>2934</v>
      </c>
      <c r="E1344" s="4">
        <v>34649608259</v>
      </c>
      <c r="F1344" s="4" t="s">
        <v>70</v>
      </c>
      <c r="G1344" s="32">
        <v>46118</v>
      </c>
      <c r="H1344" s="4" t="s">
        <v>856</v>
      </c>
      <c r="I1344" s="4" t="s">
        <v>459</v>
      </c>
      <c r="K1344" s="67" t="b">
        <v>1</v>
      </c>
      <c r="L1344" s="68" t="b">
        <v>1</v>
      </c>
      <c r="N1344" s="67"/>
      <c r="S1344" s="8"/>
    </row>
    <row r="1345" spans="1:19" ht="12.5">
      <c r="A1345" s="4" t="s">
        <v>5</v>
      </c>
      <c r="B1345" s="4" t="s">
        <v>119</v>
      </c>
      <c r="C1345" s="4" t="s">
        <v>2933</v>
      </c>
      <c r="D1345" s="4" t="s">
        <v>2934</v>
      </c>
      <c r="E1345" s="4">
        <v>34649608259</v>
      </c>
      <c r="F1345" s="4" t="s">
        <v>2935</v>
      </c>
      <c r="G1345" s="32">
        <v>46118</v>
      </c>
      <c r="H1345" s="4" t="s">
        <v>856</v>
      </c>
      <c r="I1345" s="4" t="s">
        <v>459</v>
      </c>
      <c r="K1345" s="67" t="b">
        <v>1</v>
      </c>
      <c r="N1345" s="67" t="b">
        <v>1</v>
      </c>
      <c r="S1345" s="8"/>
    </row>
    <row r="1346" spans="1:19" ht="12.5">
      <c r="A1346" s="4" t="s">
        <v>5</v>
      </c>
      <c r="B1346" s="4" t="s">
        <v>119</v>
      </c>
      <c r="C1346" s="4" t="s">
        <v>2936</v>
      </c>
      <c r="E1346" s="4" t="s">
        <v>2937</v>
      </c>
      <c r="F1346" s="4" t="s">
        <v>1068</v>
      </c>
      <c r="G1346" s="43">
        <v>46118</v>
      </c>
      <c r="H1346" s="9" t="s">
        <v>956</v>
      </c>
      <c r="I1346" s="9" t="s">
        <v>459</v>
      </c>
      <c r="J1346" s="68"/>
      <c r="K1346" s="67" t="b">
        <v>1</v>
      </c>
      <c r="L1346" s="4"/>
      <c r="M1346" s="4"/>
      <c r="N1346" s="67" t="b">
        <v>1</v>
      </c>
      <c r="O1346" s="4"/>
      <c r="P1346" s="4"/>
      <c r="Q1346" s="4"/>
      <c r="R1346" s="4"/>
      <c r="S1346" s="8"/>
    </row>
    <row r="1347" spans="1:19" ht="12.5">
      <c r="A1347" s="4" t="s">
        <v>5</v>
      </c>
      <c r="B1347" s="4" t="s">
        <v>119</v>
      </c>
      <c r="C1347" s="4" t="s">
        <v>2936</v>
      </c>
      <c r="E1347" s="4" t="s">
        <v>2938</v>
      </c>
      <c r="F1347" s="4" t="s">
        <v>1783</v>
      </c>
      <c r="G1347" s="43">
        <v>46118</v>
      </c>
      <c r="H1347" s="9" t="s">
        <v>956</v>
      </c>
      <c r="I1347" s="9" t="s">
        <v>459</v>
      </c>
      <c r="J1347" s="68"/>
      <c r="K1347" s="67" t="b">
        <v>1</v>
      </c>
      <c r="L1347" s="4"/>
      <c r="M1347" s="4"/>
      <c r="N1347" s="67" t="b">
        <v>1</v>
      </c>
      <c r="O1347" s="4"/>
      <c r="P1347" s="4"/>
      <c r="Q1347" s="4"/>
      <c r="R1347" s="4"/>
      <c r="S1347" s="8"/>
    </row>
    <row r="1348" spans="1:19" ht="12.5">
      <c r="A1348" s="4" t="s">
        <v>381</v>
      </c>
      <c r="B1348" s="4" t="s">
        <v>119</v>
      </c>
      <c r="C1348" s="4" t="s">
        <v>2936</v>
      </c>
      <c r="E1348" s="4" t="s">
        <v>2939</v>
      </c>
      <c r="F1348" s="4" t="s">
        <v>2411</v>
      </c>
      <c r="G1348" s="43">
        <v>46118</v>
      </c>
      <c r="H1348" s="9" t="s">
        <v>956</v>
      </c>
      <c r="I1348" s="9" t="s">
        <v>459</v>
      </c>
      <c r="J1348" s="68"/>
      <c r="K1348" s="67" t="b">
        <v>1</v>
      </c>
      <c r="L1348" s="4"/>
      <c r="M1348" s="4"/>
      <c r="N1348" s="67" t="b">
        <v>1</v>
      </c>
      <c r="O1348" s="4"/>
      <c r="P1348" s="4"/>
      <c r="Q1348" s="4"/>
      <c r="R1348" s="4"/>
      <c r="S1348" s="8"/>
    </row>
    <row r="1349" spans="1:19" ht="12.5">
      <c r="A1349" s="4" t="s">
        <v>5</v>
      </c>
      <c r="B1349" s="4" t="s">
        <v>119</v>
      </c>
      <c r="C1349" s="4" t="s">
        <v>2038</v>
      </c>
      <c r="E1349" s="4" t="s">
        <v>2940</v>
      </c>
      <c r="F1349" s="4" t="s">
        <v>2941</v>
      </c>
      <c r="G1349" s="43">
        <v>46118</v>
      </c>
      <c r="H1349" s="9" t="s">
        <v>956</v>
      </c>
      <c r="I1349" s="9" t="s">
        <v>459</v>
      </c>
      <c r="J1349" s="68"/>
      <c r="K1349" s="67" t="b">
        <v>1</v>
      </c>
      <c r="L1349" s="4"/>
      <c r="M1349" s="4"/>
      <c r="N1349" s="67" t="b">
        <v>1</v>
      </c>
      <c r="O1349" s="4"/>
      <c r="P1349" s="4"/>
      <c r="Q1349" s="4"/>
      <c r="R1349" s="4"/>
      <c r="S1349" s="8"/>
    </row>
    <row r="1350" spans="1:19" ht="12.5">
      <c r="A1350" s="4" t="s">
        <v>5</v>
      </c>
      <c r="B1350" s="4" t="s">
        <v>119</v>
      </c>
      <c r="C1350" s="4" t="s">
        <v>2942</v>
      </c>
      <c r="D1350" s="4" t="s">
        <v>2943</v>
      </c>
      <c r="E1350" s="4">
        <v>593981833157</v>
      </c>
      <c r="F1350" s="4" t="s">
        <v>82</v>
      </c>
      <c r="G1350" s="43">
        <v>46118</v>
      </c>
      <c r="H1350" s="9" t="s">
        <v>856</v>
      </c>
      <c r="I1350" s="9" t="s">
        <v>459</v>
      </c>
      <c r="J1350" s="68"/>
      <c r="K1350" s="67" t="b">
        <v>1</v>
      </c>
      <c r="N1350" s="67" t="b">
        <v>1</v>
      </c>
      <c r="S1350" s="8"/>
    </row>
    <row r="1351" spans="1:19" ht="12.5">
      <c r="A1351" s="4" t="s">
        <v>381</v>
      </c>
      <c r="B1351" s="4" t="s">
        <v>119</v>
      </c>
      <c r="C1351" s="4" t="s">
        <v>2944</v>
      </c>
      <c r="D1351" s="4" t="s">
        <v>2945</v>
      </c>
      <c r="E1351" s="4">
        <v>573008430881</v>
      </c>
      <c r="F1351" s="4" t="s">
        <v>1835</v>
      </c>
      <c r="G1351" s="43">
        <v>46119</v>
      </c>
      <c r="H1351" s="9" t="s">
        <v>856</v>
      </c>
      <c r="I1351" s="9" t="s">
        <v>459</v>
      </c>
      <c r="J1351" s="68"/>
      <c r="K1351" s="67" t="b">
        <v>1</v>
      </c>
      <c r="N1351" s="67" t="b">
        <v>1</v>
      </c>
      <c r="S1351" s="8"/>
    </row>
    <row r="1352" spans="1:19" ht="12.5">
      <c r="A1352" s="4" t="s">
        <v>5</v>
      </c>
      <c r="B1352" s="4" t="s">
        <v>119</v>
      </c>
      <c r="C1352" s="4" t="s">
        <v>2946</v>
      </c>
      <c r="E1352" s="4" t="s">
        <v>2947</v>
      </c>
      <c r="F1352" s="4" t="s">
        <v>2948</v>
      </c>
      <c r="G1352" s="43">
        <v>46119</v>
      </c>
      <c r="H1352" s="9" t="s">
        <v>956</v>
      </c>
      <c r="I1352" s="9" t="s">
        <v>459</v>
      </c>
      <c r="K1352" s="67" t="b">
        <v>1</v>
      </c>
      <c r="L1352" s="4"/>
      <c r="M1352" s="4"/>
      <c r="N1352" s="67" t="b">
        <v>1</v>
      </c>
      <c r="O1352" s="4"/>
      <c r="P1352" s="4"/>
      <c r="Q1352" s="4"/>
      <c r="R1352" s="4"/>
      <c r="S1352" s="8"/>
    </row>
    <row r="1353" spans="1:19" ht="12.5">
      <c r="A1353" s="4" t="s">
        <v>5</v>
      </c>
      <c r="B1353" s="4" t="s">
        <v>119</v>
      </c>
      <c r="C1353" s="4" t="s">
        <v>2936</v>
      </c>
      <c r="E1353" s="4" t="s">
        <v>2949</v>
      </c>
      <c r="F1353" s="4" t="s">
        <v>584</v>
      </c>
      <c r="G1353" s="43">
        <v>46119</v>
      </c>
      <c r="H1353" s="9" t="s">
        <v>956</v>
      </c>
      <c r="I1353" s="9" t="s">
        <v>459</v>
      </c>
      <c r="K1353" s="67" t="b">
        <v>1</v>
      </c>
      <c r="L1353" s="4"/>
      <c r="M1353" s="4"/>
      <c r="N1353" s="67" t="b">
        <v>1</v>
      </c>
      <c r="O1353" s="4"/>
      <c r="P1353" s="4"/>
      <c r="Q1353" s="4"/>
      <c r="R1353" s="4"/>
      <c r="S1353" s="8"/>
    </row>
    <row r="1354" spans="1:19" ht="12.5">
      <c r="A1354" s="4" t="s">
        <v>5</v>
      </c>
      <c r="B1354" s="4" t="s">
        <v>119</v>
      </c>
      <c r="C1354" s="4" t="s">
        <v>2936</v>
      </c>
      <c r="E1354" s="4" t="s">
        <v>2950</v>
      </c>
      <c r="F1354" s="4" t="s">
        <v>2951</v>
      </c>
      <c r="G1354" s="43">
        <v>46119</v>
      </c>
      <c r="H1354" s="9" t="s">
        <v>956</v>
      </c>
      <c r="I1354" s="9" t="s">
        <v>459</v>
      </c>
      <c r="K1354" s="67" t="b">
        <v>1</v>
      </c>
      <c r="L1354" s="4"/>
      <c r="M1354" s="4"/>
      <c r="N1354" s="67" t="b">
        <v>1</v>
      </c>
      <c r="O1354" s="4"/>
      <c r="P1354" s="4"/>
      <c r="Q1354" s="4"/>
      <c r="R1354" s="4"/>
      <c r="S1354" s="8"/>
    </row>
    <row r="1355" spans="1:19" ht="12.5">
      <c r="A1355" s="4" t="s">
        <v>5</v>
      </c>
      <c r="B1355" s="4" t="s">
        <v>119</v>
      </c>
      <c r="C1355" s="4" t="s">
        <v>2936</v>
      </c>
      <c r="E1355" s="4" t="s">
        <v>2952</v>
      </c>
      <c r="F1355" s="4" t="s">
        <v>2881</v>
      </c>
      <c r="G1355" s="43">
        <v>46119</v>
      </c>
      <c r="H1355" s="9" t="s">
        <v>956</v>
      </c>
      <c r="I1355" s="9" t="s">
        <v>459</v>
      </c>
      <c r="K1355" s="67" t="b">
        <v>1</v>
      </c>
      <c r="L1355" s="4"/>
      <c r="M1355" s="4"/>
      <c r="N1355" s="67" t="b">
        <v>1</v>
      </c>
      <c r="O1355" s="4"/>
      <c r="P1355" s="4"/>
      <c r="Q1355" s="4"/>
      <c r="R1355" s="4"/>
      <c r="S1355" s="8"/>
    </row>
    <row r="1356" spans="1:19" ht="12.5">
      <c r="A1356" s="4" t="s">
        <v>5</v>
      </c>
      <c r="B1356" s="4" t="s">
        <v>119</v>
      </c>
      <c r="C1356" s="4" t="s">
        <v>2936</v>
      </c>
      <c r="E1356" s="4" t="s">
        <v>2953</v>
      </c>
      <c r="F1356" s="4" t="s">
        <v>70</v>
      </c>
      <c r="G1356" s="43">
        <v>46119</v>
      </c>
      <c r="H1356" s="9" t="s">
        <v>956</v>
      </c>
      <c r="I1356" s="9" t="s">
        <v>459</v>
      </c>
      <c r="K1356" s="67" t="b">
        <v>1</v>
      </c>
      <c r="L1356" s="4"/>
      <c r="M1356" s="4"/>
      <c r="N1356" s="67" t="b">
        <v>1</v>
      </c>
      <c r="O1356" s="4"/>
      <c r="P1356" s="4"/>
      <c r="Q1356" s="4"/>
      <c r="R1356" s="4"/>
      <c r="S1356" s="8"/>
    </row>
    <row r="1357" spans="1:19" ht="12.5">
      <c r="A1357" s="4" t="s">
        <v>5</v>
      </c>
      <c r="B1357" s="4" t="s">
        <v>119</v>
      </c>
      <c r="C1357" s="4" t="s">
        <v>2936</v>
      </c>
      <c r="E1357" s="4" t="s">
        <v>2954</v>
      </c>
      <c r="F1357" s="4" t="s">
        <v>1965</v>
      </c>
      <c r="G1357" s="43">
        <v>46119</v>
      </c>
      <c r="H1357" s="9" t="s">
        <v>956</v>
      </c>
      <c r="I1357" s="9" t="s">
        <v>459</v>
      </c>
      <c r="K1357" s="67" t="b">
        <v>1</v>
      </c>
      <c r="L1357" s="4"/>
      <c r="M1357" s="4"/>
      <c r="N1357" s="67" t="b">
        <v>1</v>
      </c>
      <c r="O1357" s="4"/>
      <c r="P1357" s="4"/>
      <c r="Q1357" s="4"/>
      <c r="R1357" s="4"/>
      <c r="S1357" s="8"/>
    </row>
    <row r="1358" spans="1:19" ht="12.5">
      <c r="A1358" s="4" t="s">
        <v>5</v>
      </c>
      <c r="B1358" s="4" t="s">
        <v>119</v>
      </c>
      <c r="C1358" s="4" t="s">
        <v>2936</v>
      </c>
      <c r="E1358" s="4" t="s">
        <v>2955</v>
      </c>
      <c r="F1358" s="4" t="s">
        <v>267</v>
      </c>
      <c r="G1358" s="43">
        <v>46119</v>
      </c>
      <c r="H1358" s="9" t="s">
        <v>956</v>
      </c>
      <c r="I1358" s="9" t="s">
        <v>459</v>
      </c>
      <c r="K1358" s="67" t="b">
        <v>1</v>
      </c>
      <c r="L1358" s="4"/>
      <c r="M1358" s="4"/>
      <c r="N1358" s="67" t="b">
        <v>1</v>
      </c>
      <c r="O1358" s="4"/>
      <c r="P1358" s="4"/>
      <c r="Q1358" s="4"/>
      <c r="R1358" s="4"/>
      <c r="S1358" s="8"/>
    </row>
    <row r="1359" spans="1:19" ht="12.5">
      <c r="A1359" s="4" t="s">
        <v>5</v>
      </c>
      <c r="B1359" s="4" t="s">
        <v>119</v>
      </c>
      <c r="C1359" s="4" t="s">
        <v>2936</v>
      </c>
      <c r="E1359" s="4" t="s">
        <v>2956</v>
      </c>
      <c r="F1359" s="4" t="s">
        <v>319</v>
      </c>
      <c r="G1359" s="43">
        <v>46119</v>
      </c>
      <c r="H1359" s="9" t="s">
        <v>956</v>
      </c>
      <c r="I1359" s="9" t="s">
        <v>459</v>
      </c>
      <c r="K1359" s="67" t="b">
        <v>1</v>
      </c>
      <c r="L1359" s="4"/>
      <c r="M1359" s="4"/>
      <c r="N1359" s="67" t="b">
        <v>1</v>
      </c>
      <c r="O1359" s="4"/>
      <c r="P1359" s="4"/>
      <c r="Q1359" s="4"/>
      <c r="R1359" s="4"/>
      <c r="S1359" s="8"/>
    </row>
    <row r="1360" spans="1:19" ht="12.5">
      <c r="A1360" s="4" t="s">
        <v>5</v>
      </c>
      <c r="B1360" s="4" t="s">
        <v>119</v>
      </c>
      <c r="C1360" s="4" t="s">
        <v>2936</v>
      </c>
      <c r="E1360" s="4" t="s">
        <v>2957</v>
      </c>
      <c r="F1360" s="4" t="s">
        <v>2762</v>
      </c>
      <c r="G1360" s="43">
        <v>46119</v>
      </c>
      <c r="H1360" s="9" t="s">
        <v>956</v>
      </c>
      <c r="I1360" s="9" t="s">
        <v>459</v>
      </c>
      <c r="K1360" s="67" t="b">
        <v>1</v>
      </c>
      <c r="L1360" s="4"/>
      <c r="M1360" s="4"/>
      <c r="N1360" s="67" t="b">
        <v>1</v>
      </c>
      <c r="O1360" s="4"/>
      <c r="P1360" s="4"/>
      <c r="Q1360" s="4"/>
      <c r="R1360" s="4"/>
      <c r="S1360" s="8"/>
    </row>
    <row r="1361" spans="1:19" ht="12.5">
      <c r="A1361" s="4" t="s">
        <v>5</v>
      </c>
      <c r="B1361" s="4" t="s">
        <v>119</v>
      </c>
      <c r="C1361" s="4" t="s">
        <v>2936</v>
      </c>
      <c r="E1361" s="4" t="s">
        <v>2958</v>
      </c>
      <c r="F1361" s="4" t="s">
        <v>2959</v>
      </c>
      <c r="G1361" s="43">
        <v>46119</v>
      </c>
      <c r="H1361" s="9" t="s">
        <v>956</v>
      </c>
      <c r="I1361" s="9" t="s">
        <v>459</v>
      </c>
      <c r="K1361" s="67" t="b">
        <v>1</v>
      </c>
      <c r="L1361" s="4"/>
      <c r="M1361" s="4"/>
      <c r="N1361" s="67" t="b">
        <v>1</v>
      </c>
      <c r="O1361" s="4"/>
      <c r="P1361" s="4"/>
      <c r="Q1361" s="4"/>
      <c r="R1361" s="4"/>
      <c r="S1361" s="8"/>
    </row>
    <row r="1362" spans="1:19" ht="12.5">
      <c r="A1362" s="4" t="s">
        <v>5</v>
      </c>
      <c r="B1362" s="4" t="s">
        <v>119</v>
      </c>
      <c r="C1362" s="4" t="s">
        <v>2936</v>
      </c>
      <c r="E1362" s="4" t="s">
        <v>2960</v>
      </c>
      <c r="F1362" s="4" t="s">
        <v>792</v>
      </c>
      <c r="G1362" s="43">
        <v>46119</v>
      </c>
      <c r="H1362" s="9" t="s">
        <v>956</v>
      </c>
      <c r="I1362" s="9" t="s">
        <v>459</v>
      </c>
      <c r="K1362" s="67" t="b">
        <v>1</v>
      </c>
      <c r="L1362" s="4"/>
      <c r="M1362" s="4"/>
      <c r="N1362" s="67" t="b">
        <v>1</v>
      </c>
      <c r="O1362" s="4"/>
      <c r="P1362" s="4"/>
      <c r="Q1362" s="4"/>
      <c r="R1362" s="4"/>
      <c r="S1362" s="8"/>
    </row>
    <row r="1363" spans="1:19" ht="12.5">
      <c r="A1363" s="4" t="s">
        <v>5</v>
      </c>
      <c r="B1363" s="4" t="s">
        <v>119</v>
      </c>
      <c r="C1363" s="4" t="s">
        <v>2936</v>
      </c>
      <c r="E1363" s="4" t="s">
        <v>2961</v>
      </c>
      <c r="F1363" s="4" t="s">
        <v>2828</v>
      </c>
      <c r="G1363" s="43">
        <v>46119</v>
      </c>
      <c r="H1363" s="9" t="s">
        <v>956</v>
      </c>
      <c r="I1363" s="9" t="s">
        <v>459</v>
      </c>
      <c r="K1363" s="67" t="b">
        <v>1</v>
      </c>
      <c r="L1363" s="4"/>
      <c r="M1363" s="4"/>
      <c r="N1363" s="67" t="b">
        <v>1</v>
      </c>
      <c r="O1363" s="4"/>
      <c r="P1363" s="4"/>
      <c r="Q1363" s="4"/>
      <c r="R1363" s="4"/>
      <c r="S1363" s="8"/>
    </row>
    <row r="1364" spans="1:19" ht="12.5">
      <c r="A1364" s="4" t="s">
        <v>5</v>
      </c>
      <c r="B1364" s="4" t="s">
        <v>119</v>
      </c>
      <c r="C1364" s="4" t="s">
        <v>2936</v>
      </c>
      <c r="E1364" s="4" t="s">
        <v>2962</v>
      </c>
      <c r="F1364" s="4" t="s">
        <v>1468</v>
      </c>
      <c r="G1364" s="43">
        <v>46119</v>
      </c>
      <c r="H1364" s="9" t="s">
        <v>956</v>
      </c>
      <c r="I1364" s="9" t="s">
        <v>459</v>
      </c>
      <c r="K1364" s="67" t="b">
        <v>1</v>
      </c>
      <c r="L1364" s="4"/>
      <c r="M1364" s="4"/>
      <c r="N1364" s="67" t="b">
        <v>1</v>
      </c>
      <c r="O1364" s="4"/>
      <c r="P1364" s="4"/>
      <c r="Q1364" s="4"/>
      <c r="R1364" s="4"/>
      <c r="S1364" s="8"/>
    </row>
    <row r="1365" spans="1:19" ht="12.5">
      <c r="A1365" s="4" t="s">
        <v>381</v>
      </c>
      <c r="B1365" s="4" t="s">
        <v>119</v>
      </c>
      <c r="C1365" s="4" t="s">
        <v>2963</v>
      </c>
      <c r="D1365" s="4" t="s">
        <v>2964</v>
      </c>
      <c r="E1365" s="4">
        <v>9.58155E+17</v>
      </c>
      <c r="F1365" s="4" t="s">
        <v>2965</v>
      </c>
      <c r="G1365" s="32">
        <v>46120</v>
      </c>
      <c r="H1365" s="4" t="s">
        <v>856</v>
      </c>
      <c r="I1365" s="9" t="s">
        <v>459</v>
      </c>
      <c r="K1365" s="67" t="b">
        <v>1</v>
      </c>
      <c r="N1365" s="67" t="b">
        <v>1</v>
      </c>
      <c r="S1365" s="8"/>
    </row>
    <row r="1366" spans="1:19" ht="12.5">
      <c r="A1366" s="4" t="s">
        <v>5</v>
      </c>
      <c r="B1366" s="4" t="s">
        <v>119</v>
      </c>
      <c r="C1366" s="4" t="s">
        <v>2936</v>
      </c>
      <c r="E1366" s="4" t="s">
        <v>2966</v>
      </c>
      <c r="F1366" s="4" t="s">
        <v>2837</v>
      </c>
      <c r="G1366" s="32">
        <v>46120</v>
      </c>
      <c r="H1366" s="9" t="s">
        <v>956</v>
      </c>
      <c r="I1366" s="4" t="s">
        <v>459</v>
      </c>
      <c r="J1366" s="4"/>
      <c r="K1366" s="67" t="b">
        <v>1</v>
      </c>
      <c r="L1366" s="4"/>
      <c r="M1366" s="4"/>
      <c r="N1366" s="67" t="b">
        <v>1</v>
      </c>
      <c r="O1366" s="4"/>
      <c r="P1366" s="4"/>
      <c r="Q1366" s="4"/>
      <c r="R1366" s="4"/>
      <c r="S1366" s="8"/>
    </row>
    <row r="1367" spans="1:19" ht="12.5">
      <c r="A1367" s="4" t="s">
        <v>5</v>
      </c>
      <c r="B1367" s="4" t="s">
        <v>119</v>
      </c>
      <c r="C1367" s="4" t="s">
        <v>2936</v>
      </c>
      <c r="E1367" s="4" t="s">
        <v>2967</v>
      </c>
      <c r="F1367" s="4" t="s">
        <v>2968</v>
      </c>
      <c r="G1367" s="32">
        <v>46120</v>
      </c>
      <c r="H1367" s="9" t="s">
        <v>956</v>
      </c>
      <c r="I1367" s="4" t="s">
        <v>459</v>
      </c>
      <c r="J1367" s="4"/>
      <c r="K1367" s="67" t="b">
        <v>1</v>
      </c>
      <c r="L1367" s="4"/>
      <c r="M1367" s="4"/>
      <c r="N1367" s="67" t="b">
        <v>1</v>
      </c>
      <c r="O1367" s="4"/>
      <c r="P1367" s="4"/>
      <c r="Q1367" s="4"/>
      <c r="R1367" s="4"/>
      <c r="S1367" s="8"/>
    </row>
    <row r="1368" spans="1:19" ht="12.5">
      <c r="A1368" s="4" t="s">
        <v>381</v>
      </c>
      <c r="B1368" s="4" t="s">
        <v>119</v>
      </c>
      <c r="C1368" s="4" t="s">
        <v>2936</v>
      </c>
      <c r="E1368" s="4" t="s">
        <v>2969</v>
      </c>
      <c r="F1368" s="4" t="s">
        <v>2210</v>
      </c>
      <c r="G1368" s="32">
        <v>46120</v>
      </c>
      <c r="H1368" s="9" t="s">
        <v>956</v>
      </c>
      <c r="I1368" s="4" t="s">
        <v>459</v>
      </c>
      <c r="J1368" s="4"/>
      <c r="K1368" s="67" t="b">
        <v>1</v>
      </c>
      <c r="L1368" s="4"/>
      <c r="M1368" s="4"/>
      <c r="N1368" s="67" t="b">
        <v>1</v>
      </c>
      <c r="O1368" s="4"/>
      <c r="P1368" s="4"/>
      <c r="Q1368" s="4"/>
      <c r="R1368" s="4"/>
      <c r="S1368" s="8"/>
    </row>
    <row r="1369" spans="1:19" ht="12.5">
      <c r="A1369" s="4" t="s">
        <v>5</v>
      </c>
      <c r="B1369" s="4" t="s">
        <v>119</v>
      </c>
      <c r="C1369" s="4" t="s">
        <v>2936</v>
      </c>
      <c r="E1369" s="4" t="s">
        <v>2970</v>
      </c>
      <c r="F1369" s="4" t="s">
        <v>792</v>
      </c>
      <c r="G1369" s="32">
        <v>46120</v>
      </c>
      <c r="H1369" s="9" t="s">
        <v>956</v>
      </c>
      <c r="I1369" s="4" t="s">
        <v>459</v>
      </c>
      <c r="J1369" s="4"/>
      <c r="K1369" s="67" t="b">
        <v>1</v>
      </c>
      <c r="L1369" s="4"/>
      <c r="M1369" s="4"/>
      <c r="N1369" s="67" t="b">
        <v>1</v>
      </c>
      <c r="O1369" s="4"/>
      <c r="P1369" s="4"/>
      <c r="Q1369" s="4"/>
      <c r="R1369" s="4"/>
      <c r="S1369" s="8"/>
    </row>
    <row r="1370" spans="1:19" ht="12.5">
      <c r="A1370" s="4" t="s">
        <v>5</v>
      </c>
      <c r="B1370" s="4" t="s">
        <v>119</v>
      </c>
      <c r="C1370" s="4" t="s">
        <v>2936</v>
      </c>
      <c r="E1370" s="4" t="s">
        <v>2971</v>
      </c>
      <c r="F1370" s="4" t="s">
        <v>319</v>
      </c>
      <c r="G1370" s="32">
        <v>46120</v>
      </c>
      <c r="H1370" s="9" t="s">
        <v>956</v>
      </c>
      <c r="I1370" s="4" t="s">
        <v>459</v>
      </c>
      <c r="J1370" s="4"/>
      <c r="K1370" s="67" t="b">
        <v>1</v>
      </c>
      <c r="L1370" s="4"/>
      <c r="M1370" s="4"/>
      <c r="N1370" s="67" t="b">
        <v>1</v>
      </c>
      <c r="O1370" s="4"/>
      <c r="P1370" s="4"/>
      <c r="Q1370" s="4"/>
      <c r="R1370" s="4"/>
      <c r="S1370" s="8"/>
    </row>
    <row r="1371" spans="1:19" ht="12.5">
      <c r="A1371" s="4" t="s">
        <v>5</v>
      </c>
      <c r="B1371" s="4" t="s">
        <v>119</v>
      </c>
      <c r="C1371" s="4" t="s">
        <v>2972</v>
      </c>
      <c r="E1371" s="4" t="s">
        <v>2973</v>
      </c>
      <c r="F1371" s="4" t="s">
        <v>1055</v>
      </c>
      <c r="G1371" s="32">
        <v>46120</v>
      </c>
      <c r="H1371" s="9" t="s">
        <v>956</v>
      </c>
      <c r="I1371" s="4" t="s">
        <v>459</v>
      </c>
      <c r="J1371" s="4"/>
      <c r="K1371" s="67" t="b">
        <v>1</v>
      </c>
      <c r="L1371" s="4"/>
      <c r="M1371" s="4"/>
      <c r="N1371" s="67" t="b">
        <v>1</v>
      </c>
      <c r="O1371" s="4"/>
      <c r="P1371" s="4"/>
      <c r="Q1371" s="4"/>
      <c r="R1371" s="4"/>
      <c r="S1371" s="8"/>
    </row>
    <row r="1372" spans="1:19" ht="12.5">
      <c r="A1372" s="4" t="s">
        <v>5</v>
      </c>
      <c r="B1372" s="4" t="s">
        <v>119</v>
      </c>
      <c r="C1372" s="4" t="s">
        <v>2936</v>
      </c>
      <c r="E1372" s="4" t="s">
        <v>2971</v>
      </c>
      <c r="F1372" s="4" t="s">
        <v>1071</v>
      </c>
      <c r="G1372" s="32">
        <v>46120</v>
      </c>
      <c r="H1372" s="9" t="s">
        <v>956</v>
      </c>
      <c r="I1372" s="4" t="s">
        <v>459</v>
      </c>
      <c r="J1372" s="4"/>
      <c r="K1372" s="67" t="b">
        <v>1</v>
      </c>
      <c r="L1372" s="4"/>
      <c r="M1372" s="4"/>
      <c r="N1372" s="67" t="b">
        <v>1</v>
      </c>
      <c r="O1372" s="4"/>
      <c r="P1372" s="4"/>
      <c r="Q1372" s="4"/>
      <c r="R1372" s="4"/>
      <c r="S1372" s="8"/>
    </row>
    <row r="1373" spans="1:19" ht="12.5">
      <c r="A1373" s="4" t="s">
        <v>5</v>
      </c>
      <c r="B1373" s="4" t="s">
        <v>119</v>
      </c>
      <c r="C1373" s="4" t="s">
        <v>2936</v>
      </c>
      <c r="E1373" s="4" t="s">
        <v>2974</v>
      </c>
      <c r="F1373" s="4" t="s">
        <v>792</v>
      </c>
      <c r="G1373" s="32">
        <v>46120</v>
      </c>
      <c r="H1373" s="9" t="s">
        <v>956</v>
      </c>
      <c r="I1373" s="4" t="s">
        <v>459</v>
      </c>
      <c r="J1373" s="4"/>
      <c r="K1373" s="67" t="b">
        <v>1</v>
      </c>
      <c r="L1373" s="4"/>
      <c r="M1373" s="4"/>
      <c r="N1373" s="67" t="b">
        <v>1</v>
      </c>
      <c r="O1373" s="4"/>
      <c r="P1373" s="4"/>
      <c r="Q1373" s="4"/>
      <c r="R1373" s="4"/>
      <c r="S1373" s="8"/>
    </row>
    <row r="1374" spans="1:19" ht="12.5">
      <c r="A1374" s="4" t="s">
        <v>5</v>
      </c>
      <c r="B1374" s="4" t="s">
        <v>119</v>
      </c>
      <c r="C1374" s="4" t="s">
        <v>2975</v>
      </c>
      <c r="E1374" s="4" t="s">
        <v>2976</v>
      </c>
      <c r="F1374" s="4" t="s">
        <v>2238</v>
      </c>
      <c r="G1374" s="32">
        <v>46120</v>
      </c>
      <c r="H1374" s="9" t="s">
        <v>956</v>
      </c>
      <c r="I1374" s="4" t="s">
        <v>459</v>
      </c>
      <c r="J1374" s="4"/>
      <c r="K1374" s="67" t="b">
        <v>1</v>
      </c>
      <c r="L1374" s="4"/>
      <c r="M1374" s="4"/>
      <c r="N1374" s="67" t="b">
        <v>1</v>
      </c>
      <c r="O1374" s="4"/>
      <c r="P1374" s="4"/>
      <c r="Q1374" s="4"/>
      <c r="R1374" s="4"/>
      <c r="S1374" s="8"/>
    </row>
    <row r="1375" spans="1:19" ht="12.5">
      <c r="B1375" s="4" t="s">
        <v>119</v>
      </c>
      <c r="C1375" s="4" t="s">
        <v>2936</v>
      </c>
      <c r="E1375" s="4" t="s">
        <v>2977</v>
      </c>
      <c r="F1375" s="4" t="s">
        <v>792</v>
      </c>
      <c r="G1375" s="32">
        <v>46120</v>
      </c>
      <c r="H1375" s="9" t="s">
        <v>956</v>
      </c>
      <c r="I1375" s="4" t="s">
        <v>459</v>
      </c>
      <c r="J1375" s="4"/>
      <c r="K1375" s="67" t="b">
        <v>1</v>
      </c>
      <c r="L1375" s="4"/>
      <c r="M1375" s="4"/>
      <c r="N1375" s="67" t="b">
        <v>1</v>
      </c>
      <c r="O1375" s="4"/>
      <c r="P1375" s="4"/>
      <c r="Q1375" s="4"/>
      <c r="R1375" s="4"/>
      <c r="S1375" s="8"/>
    </row>
    <row r="1376" spans="1:19" ht="12.5">
      <c r="B1376" s="4" t="s">
        <v>119</v>
      </c>
      <c r="C1376" s="4" t="s">
        <v>2936</v>
      </c>
      <c r="E1376" s="4" t="s">
        <v>2978</v>
      </c>
      <c r="F1376" s="4" t="s">
        <v>2979</v>
      </c>
      <c r="G1376" s="32">
        <v>46120</v>
      </c>
      <c r="H1376" s="9" t="s">
        <v>956</v>
      </c>
      <c r="I1376" s="4" t="s">
        <v>459</v>
      </c>
      <c r="J1376" s="4"/>
      <c r="K1376" s="67" t="b">
        <v>1</v>
      </c>
      <c r="L1376" s="4"/>
      <c r="M1376" s="4"/>
      <c r="N1376" s="67" t="b">
        <v>1</v>
      </c>
      <c r="O1376" s="4"/>
      <c r="P1376" s="4"/>
      <c r="Q1376" s="4"/>
      <c r="R1376" s="4"/>
      <c r="S1376" s="8"/>
    </row>
    <row r="1377" spans="1:19" ht="12.5">
      <c r="A1377" s="4" t="s">
        <v>381</v>
      </c>
      <c r="B1377" s="4" t="s">
        <v>119</v>
      </c>
      <c r="C1377" s="4" t="s">
        <v>2980</v>
      </c>
      <c r="D1377" s="4" t="s">
        <v>2981</v>
      </c>
      <c r="E1377" s="4">
        <v>34630153669</v>
      </c>
      <c r="F1377" s="4" t="s">
        <v>2982</v>
      </c>
      <c r="G1377" s="32">
        <v>46120</v>
      </c>
      <c r="H1377" s="9" t="s">
        <v>956</v>
      </c>
      <c r="I1377" s="4" t="s">
        <v>2646</v>
      </c>
      <c r="K1377" s="67" t="b">
        <v>1</v>
      </c>
      <c r="N1377" s="67" t="b">
        <v>1</v>
      </c>
      <c r="S1377" s="8"/>
    </row>
    <row r="1378" spans="1:19" ht="12.5">
      <c r="A1378" s="4" t="s">
        <v>5</v>
      </c>
      <c r="B1378" s="4" t="s">
        <v>119</v>
      </c>
      <c r="C1378" s="4" t="s">
        <v>2983</v>
      </c>
      <c r="E1378" s="4" t="s">
        <v>2984</v>
      </c>
      <c r="F1378" s="4" t="s">
        <v>2985</v>
      </c>
      <c r="G1378" s="32">
        <v>46120</v>
      </c>
      <c r="H1378" s="9" t="s">
        <v>956</v>
      </c>
      <c r="I1378" s="4" t="s">
        <v>941</v>
      </c>
      <c r="J1378" s="68" t="b">
        <v>1</v>
      </c>
      <c r="K1378" s="67" t="b">
        <v>1</v>
      </c>
      <c r="L1378" s="4"/>
      <c r="M1378" s="4"/>
      <c r="N1378" s="67" t="b">
        <v>1</v>
      </c>
      <c r="O1378" s="4"/>
      <c r="P1378" s="4"/>
      <c r="Q1378" s="4"/>
      <c r="R1378" s="4"/>
      <c r="S1378" s="8"/>
    </row>
    <row r="1379" spans="1:19" ht="12.5">
      <c r="A1379" s="4" t="s">
        <v>5</v>
      </c>
      <c r="B1379" s="4" t="s">
        <v>119</v>
      </c>
      <c r="C1379" s="4" t="s">
        <v>2936</v>
      </c>
      <c r="G1379" s="32">
        <v>46120</v>
      </c>
      <c r="H1379" s="9" t="s">
        <v>956</v>
      </c>
      <c r="I1379" s="4" t="s">
        <v>459</v>
      </c>
      <c r="J1379" s="4"/>
      <c r="K1379" s="67" t="b">
        <v>1</v>
      </c>
      <c r="L1379" s="4"/>
      <c r="M1379" s="4"/>
      <c r="N1379" s="67" t="b">
        <v>1</v>
      </c>
      <c r="O1379" s="4"/>
      <c r="P1379" s="4"/>
      <c r="Q1379" s="4"/>
      <c r="R1379" s="4"/>
      <c r="S1379" s="8"/>
    </row>
    <row r="1380" spans="1:19" ht="12.5">
      <c r="A1380" s="4" t="s">
        <v>5</v>
      </c>
      <c r="B1380" s="4" t="s">
        <v>119</v>
      </c>
      <c r="C1380" s="4" t="s">
        <v>2936</v>
      </c>
      <c r="G1380" s="32">
        <v>46120</v>
      </c>
      <c r="H1380" s="9" t="s">
        <v>956</v>
      </c>
      <c r="I1380" s="4" t="s">
        <v>459</v>
      </c>
      <c r="J1380" s="4"/>
      <c r="K1380" s="67" t="b">
        <v>1</v>
      </c>
      <c r="L1380" s="4"/>
      <c r="M1380" s="4"/>
      <c r="N1380" s="67" t="b">
        <v>1</v>
      </c>
      <c r="O1380" s="4"/>
      <c r="P1380" s="4"/>
      <c r="Q1380" s="4"/>
      <c r="R1380" s="4"/>
      <c r="S1380" s="8"/>
    </row>
    <row r="1381" spans="1:19" ht="12.5">
      <c r="A1381" s="4" t="s">
        <v>5</v>
      </c>
      <c r="B1381" s="4" t="s">
        <v>119</v>
      </c>
      <c r="C1381" s="4" t="s">
        <v>2936</v>
      </c>
      <c r="E1381" s="4" t="s">
        <v>2986</v>
      </c>
      <c r="F1381" s="4" t="s">
        <v>528</v>
      </c>
      <c r="G1381" s="32">
        <v>46120</v>
      </c>
      <c r="H1381" s="9" t="s">
        <v>956</v>
      </c>
      <c r="I1381" s="4" t="s">
        <v>459</v>
      </c>
      <c r="J1381" s="4"/>
      <c r="K1381" s="67" t="b">
        <v>1</v>
      </c>
      <c r="L1381" s="4"/>
      <c r="M1381" s="4"/>
      <c r="N1381" s="67" t="b">
        <v>1</v>
      </c>
      <c r="O1381" s="4"/>
      <c r="P1381" s="4"/>
      <c r="Q1381" s="4"/>
      <c r="R1381" s="4"/>
      <c r="S1381" s="8"/>
    </row>
    <row r="1382" spans="1:19" ht="12.5">
      <c r="A1382" s="4" t="s">
        <v>5</v>
      </c>
      <c r="B1382" s="4" t="s">
        <v>119</v>
      </c>
      <c r="C1382" s="4" t="s">
        <v>2936</v>
      </c>
      <c r="E1382" s="4" t="s">
        <v>2987</v>
      </c>
      <c r="F1382" s="4" t="s">
        <v>584</v>
      </c>
      <c r="G1382" s="32">
        <v>46120</v>
      </c>
      <c r="H1382" s="9" t="s">
        <v>956</v>
      </c>
      <c r="I1382" s="4" t="s">
        <v>459</v>
      </c>
      <c r="J1382" s="4"/>
      <c r="K1382" s="67" t="b">
        <v>1</v>
      </c>
      <c r="L1382" s="4"/>
      <c r="M1382" s="4"/>
      <c r="N1382" s="67" t="b">
        <v>1</v>
      </c>
      <c r="O1382" s="4"/>
      <c r="P1382" s="4"/>
      <c r="Q1382" s="4"/>
      <c r="R1382" s="4"/>
      <c r="S1382" s="8"/>
    </row>
    <row r="1383" spans="1:19" ht="12.5">
      <c r="A1383" s="4" t="s">
        <v>5</v>
      </c>
      <c r="B1383" s="4" t="s">
        <v>119</v>
      </c>
      <c r="C1383" s="4" t="s">
        <v>2936</v>
      </c>
      <c r="E1383" s="4" t="s">
        <v>2988</v>
      </c>
      <c r="F1383" s="4" t="s">
        <v>375</v>
      </c>
      <c r="G1383" s="32">
        <v>46120</v>
      </c>
      <c r="H1383" s="9" t="s">
        <v>956</v>
      </c>
      <c r="I1383" s="4" t="s">
        <v>459</v>
      </c>
      <c r="J1383" s="4"/>
      <c r="K1383" s="67" t="b">
        <v>1</v>
      </c>
      <c r="L1383" s="4"/>
      <c r="M1383" s="4"/>
      <c r="N1383" s="67" t="b">
        <v>1</v>
      </c>
      <c r="O1383" s="4"/>
      <c r="P1383" s="4"/>
      <c r="Q1383" s="4"/>
      <c r="R1383" s="4"/>
      <c r="S1383" s="8"/>
    </row>
    <row r="1384" spans="1:19" ht="12.5">
      <c r="A1384" s="4" t="s">
        <v>5</v>
      </c>
      <c r="B1384" s="4" t="s">
        <v>119</v>
      </c>
      <c r="C1384" s="4" t="s">
        <v>2936</v>
      </c>
      <c r="E1384" s="4" t="s">
        <v>2989</v>
      </c>
      <c r="F1384" s="4" t="s">
        <v>27</v>
      </c>
      <c r="G1384" s="32">
        <v>46120</v>
      </c>
      <c r="H1384" s="9" t="s">
        <v>956</v>
      </c>
      <c r="I1384" s="4" t="s">
        <v>459</v>
      </c>
      <c r="J1384" s="4"/>
      <c r="K1384" s="67" t="b">
        <v>1</v>
      </c>
      <c r="L1384" s="4"/>
      <c r="M1384" s="4"/>
      <c r="N1384" s="67" t="b">
        <v>1</v>
      </c>
      <c r="O1384" s="4"/>
      <c r="P1384" s="4"/>
      <c r="Q1384" s="4"/>
      <c r="R1384" s="4"/>
      <c r="S1384" s="8"/>
    </row>
    <row r="1385" spans="1:19" ht="12.5">
      <c r="A1385" s="4" t="s">
        <v>5</v>
      </c>
      <c r="B1385" s="4" t="s">
        <v>119</v>
      </c>
      <c r="C1385" s="4" t="s">
        <v>2990</v>
      </c>
      <c r="E1385" s="4" t="s">
        <v>2991</v>
      </c>
      <c r="F1385" s="4" t="s">
        <v>2992</v>
      </c>
      <c r="G1385" s="32">
        <v>46120</v>
      </c>
      <c r="H1385" s="9" t="s">
        <v>956</v>
      </c>
      <c r="I1385" s="4" t="s">
        <v>2646</v>
      </c>
      <c r="J1385" s="68" t="b">
        <v>1</v>
      </c>
      <c r="K1385" s="67" t="b">
        <v>1</v>
      </c>
      <c r="L1385" s="4"/>
      <c r="M1385" s="4"/>
      <c r="N1385" s="67" t="b">
        <v>1</v>
      </c>
      <c r="O1385" s="4"/>
      <c r="P1385" s="4"/>
      <c r="Q1385" s="4"/>
      <c r="R1385" s="4"/>
      <c r="S1385" s="8"/>
    </row>
    <row r="1386" spans="1:19" ht="12.5">
      <c r="A1386" s="4" t="s">
        <v>5</v>
      </c>
      <c r="B1386" s="4" t="s">
        <v>119</v>
      </c>
      <c r="C1386" s="4" t="s">
        <v>2936</v>
      </c>
      <c r="E1386" s="4" t="s">
        <v>2993</v>
      </c>
      <c r="F1386" s="4" t="s">
        <v>289</v>
      </c>
      <c r="G1386" s="32">
        <v>46120</v>
      </c>
      <c r="H1386" s="9" t="s">
        <v>956</v>
      </c>
      <c r="I1386" s="4" t="s">
        <v>459</v>
      </c>
      <c r="J1386" s="4"/>
      <c r="K1386" s="67" t="b">
        <v>1</v>
      </c>
      <c r="L1386" s="4"/>
      <c r="M1386" s="4"/>
      <c r="N1386" s="67" t="b">
        <v>1</v>
      </c>
      <c r="O1386" s="4"/>
      <c r="P1386" s="4"/>
      <c r="Q1386" s="4"/>
      <c r="R1386" s="4"/>
      <c r="S1386" s="8"/>
    </row>
    <row r="1387" spans="1:19" ht="12.5">
      <c r="A1387" s="4" t="s">
        <v>5</v>
      </c>
      <c r="B1387" s="4" t="s">
        <v>119</v>
      </c>
      <c r="C1387" s="4" t="s">
        <v>2994</v>
      </c>
      <c r="E1387" s="4" t="s">
        <v>2995</v>
      </c>
      <c r="F1387" s="4" t="s">
        <v>27</v>
      </c>
      <c r="G1387" s="32">
        <v>46120</v>
      </c>
      <c r="H1387" s="9" t="s">
        <v>956</v>
      </c>
      <c r="I1387" s="4" t="s">
        <v>459</v>
      </c>
      <c r="J1387" s="4"/>
      <c r="K1387" s="67" t="b">
        <v>1</v>
      </c>
      <c r="L1387" s="4"/>
      <c r="M1387" s="4"/>
      <c r="N1387" s="67" t="b">
        <v>1</v>
      </c>
      <c r="O1387" s="4"/>
      <c r="P1387" s="4"/>
      <c r="Q1387" s="4"/>
      <c r="R1387" s="4"/>
      <c r="S1387" s="8"/>
    </row>
    <row r="1388" spans="1:19" ht="12.5">
      <c r="A1388" s="4" t="s">
        <v>5</v>
      </c>
      <c r="B1388" s="4" t="s">
        <v>119</v>
      </c>
      <c r="C1388" s="4" t="s">
        <v>2936</v>
      </c>
      <c r="E1388" s="4" t="s">
        <v>2996</v>
      </c>
      <c r="F1388" s="4" t="s">
        <v>792</v>
      </c>
      <c r="G1388" s="32">
        <v>46120</v>
      </c>
      <c r="H1388" s="9" t="s">
        <v>956</v>
      </c>
      <c r="I1388" s="4" t="s">
        <v>459</v>
      </c>
      <c r="J1388" s="4"/>
      <c r="K1388" s="67" t="b">
        <v>1</v>
      </c>
      <c r="L1388" s="4"/>
      <c r="M1388" s="4"/>
      <c r="N1388" s="67" t="b">
        <v>1</v>
      </c>
      <c r="O1388" s="4"/>
      <c r="P1388" s="4"/>
      <c r="Q1388" s="4"/>
      <c r="R1388" s="4"/>
      <c r="S1388" s="8"/>
    </row>
    <row r="1389" spans="1:19" ht="12.5">
      <c r="A1389" s="4" t="s">
        <v>5</v>
      </c>
      <c r="B1389" s="4" t="s">
        <v>119</v>
      </c>
      <c r="C1389" s="4" t="s">
        <v>2997</v>
      </c>
      <c r="E1389" s="4" t="s">
        <v>2998</v>
      </c>
      <c r="F1389" s="4" t="s">
        <v>2238</v>
      </c>
      <c r="G1389" s="32">
        <v>46120</v>
      </c>
      <c r="H1389" s="9" t="s">
        <v>956</v>
      </c>
      <c r="I1389" s="4" t="s">
        <v>459</v>
      </c>
      <c r="J1389" s="68" t="b">
        <v>1</v>
      </c>
      <c r="K1389" s="67" t="b">
        <v>1</v>
      </c>
      <c r="L1389" s="4"/>
      <c r="M1389" s="4"/>
      <c r="N1389" s="67" t="b">
        <v>1</v>
      </c>
      <c r="O1389" s="4"/>
      <c r="P1389" s="4"/>
      <c r="Q1389" s="4"/>
      <c r="R1389" s="4"/>
      <c r="S1389" s="8"/>
    </row>
    <row r="1390" spans="1:19" ht="12.5">
      <c r="A1390" s="4" t="s">
        <v>5</v>
      </c>
      <c r="B1390" s="4" t="s">
        <v>119</v>
      </c>
      <c r="C1390" s="4" t="s">
        <v>2936</v>
      </c>
      <c r="E1390" s="4" t="s">
        <v>2999</v>
      </c>
      <c r="F1390" s="4" t="s">
        <v>2762</v>
      </c>
      <c r="G1390" s="32">
        <v>46120</v>
      </c>
      <c r="H1390" s="9" t="s">
        <v>956</v>
      </c>
      <c r="I1390" s="4" t="s">
        <v>459</v>
      </c>
      <c r="J1390" s="4"/>
      <c r="K1390" s="67" t="b">
        <v>1</v>
      </c>
      <c r="L1390" s="4"/>
      <c r="M1390" s="4"/>
      <c r="N1390" s="67" t="b">
        <v>1</v>
      </c>
      <c r="O1390" s="4"/>
      <c r="P1390" s="4"/>
      <c r="Q1390" s="4"/>
      <c r="R1390" s="4"/>
      <c r="S1390" s="8"/>
    </row>
    <row r="1391" spans="1:19" ht="12.5">
      <c r="A1391" s="4" t="s">
        <v>5</v>
      </c>
      <c r="B1391" s="4" t="s">
        <v>119</v>
      </c>
      <c r="C1391" s="4" t="s">
        <v>2936</v>
      </c>
      <c r="E1391" s="4" t="s">
        <v>3000</v>
      </c>
      <c r="F1391" s="4" t="s">
        <v>70</v>
      </c>
      <c r="G1391" s="32">
        <v>46120</v>
      </c>
      <c r="H1391" s="9" t="s">
        <v>956</v>
      </c>
      <c r="I1391" s="4" t="s">
        <v>459</v>
      </c>
      <c r="J1391" s="4"/>
      <c r="K1391" s="67" t="b">
        <v>1</v>
      </c>
      <c r="L1391" s="4"/>
      <c r="M1391" s="4"/>
      <c r="N1391" s="67" t="b">
        <v>1</v>
      </c>
      <c r="O1391" s="4"/>
      <c r="P1391" s="4"/>
      <c r="Q1391" s="4"/>
      <c r="R1391" s="4"/>
      <c r="S1391" s="8"/>
    </row>
    <row r="1392" spans="1:19" ht="12.5">
      <c r="A1392" s="4" t="s">
        <v>5</v>
      </c>
      <c r="B1392" s="4" t="s">
        <v>119</v>
      </c>
      <c r="C1392" s="4" t="s">
        <v>3001</v>
      </c>
      <c r="E1392" s="4" t="s">
        <v>3002</v>
      </c>
      <c r="F1392" s="4" t="s">
        <v>2762</v>
      </c>
      <c r="G1392" s="32">
        <v>46120</v>
      </c>
      <c r="H1392" s="9" t="s">
        <v>956</v>
      </c>
      <c r="I1392" s="4" t="s">
        <v>459</v>
      </c>
      <c r="J1392" s="4"/>
      <c r="K1392" s="67" t="b">
        <v>1</v>
      </c>
      <c r="L1392" s="4"/>
      <c r="M1392" s="4"/>
      <c r="N1392" s="67" t="b">
        <v>1</v>
      </c>
      <c r="O1392" s="4"/>
      <c r="P1392" s="4"/>
      <c r="Q1392" s="4"/>
      <c r="R1392" s="4"/>
      <c r="S1392" s="8"/>
    </row>
    <row r="1393" spans="1:19" ht="12.5">
      <c r="A1393" s="4" t="s">
        <v>5</v>
      </c>
      <c r="B1393" s="4" t="s">
        <v>119</v>
      </c>
      <c r="C1393" s="4" t="s">
        <v>2936</v>
      </c>
      <c r="E1393" s="4" t="s">
        <v>3003</v>
      </c>
      <c r="F1393" s="4" t="s">
        <v>2948</v>
      </c>
      <c r="G1393" s="32">
        <v>46120</v>
      </c>
      <c r="H1393" s="9" t="s">
        <v>956</v>
      </c>
      <c r="I1393" s="4" t="s">
        <v>459</v>
      </c>
      <c r="J1393" s="4"/>
      <c r="K1393" s="67" t="b">
        <v>1</v>
      </c>
      <c r="L1393" s="4"/>
      <c r="M1393" s="4"/>
      <c r="N1393" s="67" t="b">
        <v>1</v>
      </c>
      <c r="O1393" s="4"/>
      <c r="P1393" s="4"/>
      <c r="Q1393" s="4"/>
      <c r="R1393" s="4"/>
      <c r="S1393" s="8"/>
    </row>
    <row r="1394" spans="1:19" ht="12.5">
      <c r="A1394" s="4" t="s">
        <v>5</v>
      </c>
      <c r="B1394" s="4" t="s">
        <v>119</v>
      </c>
      <c r="C1394" s="4" t="s">
        <v>2936</v>
      </c>
      <c r="E1394" s="4" t="s">
        <v>3004</v>
      </c>
      <c r="F1394" s="4" t="s">
        <v>2762</v>
      </c>
      <c r="G1394" s="32">
        <v>46120</v>
      </c>
      <c r="H1394" s="9" t="s">
        <v>956</v>
      </c>
      <c r="I1394" s="4" t="s">
        <v>459</v>
      </c>
      <c r="J1394" s="4"/>
      <c r="K1394" s="67" t="b">
        <v>1</v>
      </c>
      <c r="L1394" s="4"/>
      <c r="M1394" s="4"/>
      <c r="N1394" s="67" t="b">
        <v>1</v>
      </c>
      <c r="O1394" s="4"/>
      <c r="P1394" s="4"/>
      <c r="Q1394" s="4"/>
      <c r="R1394" s="4"/>
      <c r="S1394" s="8"/>
    </row>
    <row r="1395" spans="1:19" ht="12.5">
      <c r="A1395" s="4" t="s">
        <v>5</v>
      </c>
      <c r="B1395" s="4" t="s">
        <v>119</v>
      </c>
      <c r="C1395" s="4" t="s">
        <v>2936</v>
      </c>
      <c r="E1395" s="4" t="s">
        <v>3005</v>
      </c>
      <c r="F1395" s="4" t="s">
        <v>1055</v>
      </c>
      <c r="G1395" s="32">
        <v>46120</v>
      </c>
      <c r="H1395" s="9" t="s">
        <v>956</v>
      </c>
      <c r="I1395" s="4" t="s">
        <v>459</v>
      </c>
      <c r="J1395" s="4"/>
      <c r="K1395" s="67" t="b">
        <v>1</v>
      </c>
      <c r="L1395" s="4"/>
      <c r="M1395" s="4"/>
      <c r="N1395" s="67" t="b">
        <v>1</v>
      </c>
      <c r="O1395" s="4"/>
      <c r="P1395" s="4"/>
      <c r="Q1395" s="4"/>
      <c r="R1395" s="4"/>
      <c r="S1395" s="8"/>
    </row>
    <row r="1396" spans="1:19" ht="12.5">
      <c r="A1396" s="4" t="s">
        <v>5</v>
      </c>
      <c r="B1396" s="4" t="s">
        <v>119</v>
      </c>
      <c r="C1396" s="4" t="s">
        <v>2936</v>
      </c>
      <c r="E1396" s="4" t="s">
        <v>3006</v>
      </c>
      <c r="F1396" s="4" t="s">
        <v>8</v>
      </c>
      <c r="G1396" s="32">
        <v>46120</v>
      </c>
      <c r="H1396" s="9" t="s">
        <v>956</v>
      </c>
      <c r="I1396" s="4" t="s">
        <v>459</v>
      </c>
      <c r="J1396" s="4"/>
      <c r="K1396" s="67" t="b">
        <v>1</v>
      </c>
      <c r="L1396" s="4"/>
      <c r="M1396" s="4"/>
      <c r="N1396" s="67" t="b">
        <v>1</v>
      </c>
      <c r="O1396" s="4"/>
      <c r="P1396" s="4"/>
      <c r="Q1396" s="4"/>
      <c r="R1396" s="4"/>
      <c r="S1396" s="8"/>
    </row>
    <row r="1397" spans="1:19" ht="12.5">
      <c r="A1397" s="4" t="s">
        <v>5</v>
      </c>
      <c r="B1397" s="4" t="s">
        <v>119</v>
      </c>
      <c r="C1397" s="4" t="s">
        <v>2936</v>
      </c>
      <c r="E1397" s="4" t="s">
        <v>3007</v>
      </c>
      <c r="F1397" s="4" t="s">
        <v>70</v>
      </c>
      <c r="G1397" s="32">
        <v>46120</v>
      </c>
      <c r="H1397" s="9" t="s">
        <v>956</v>
      </c>
      <c r="I1397" s="4" t="s">
        <v>459</v>
      </c>
      <c r="J1397" s="4"/>
      <c r="K1397" s="67" t="b">
        <v>1</v>
      </c>
      <c r="L1397" s="4"/>
      <c r="M1397" s="4"/>
      <c r="N1397" s="67" t="b">
        <v>1</v>
      </c>
      <c r="O1397" s="4"/>
      <c r="P1397" s="4"/>
      <c r="Q1397" s="4"/>
      <c r="R1397" s="4"/>
      <c r="S1397" s="8"/>
    </row>
    <row r="1398" spans="1:19" ht="12.5">
      <c r="A1398" s="4" t="s">
        <v>5</v>
      </c>
      <c r="B1398" s="4" t="s">
        <v>119</v>
      </c>
      <c r="C1398" s="4" t="s">
        <v>2936</v>
      </c>
      <c r="E1398" s="4" t="s">
        <v>3008</v>
      </c>
      <c r="F1398" s="4" t="s">
        <v>8</v>
      </c>
      <c r="G1398" s="32">
        <v>46120</v>
      </c>
      <c r="H1398" s="9" t="s">
        <v>956</v>
      </c>
      <c r="I1398" s="4" t="s">
        <v>2646</v>
      </c>
      <c r="J1398" s="68" t="b">
        <v>1</v>
      </c>
      <c r="K1398" s="67" t="b">
        <v>1</v>
      </c>
      <c r="L1398" s="4"/>
      <c r="M1398" s="4"/>
      <c r="N1398" s="67" t="b">
        <v>1</v>
      </c>
      <c r="O1398" s="4"/>
      <c r="P1398" s="4"/>
      <c r="Q1398" s="4"/>
      <c r="R1398" s="4"/>
      <c r="S1398" s="8"/>
    </row>
    <row r="1399" spans="1:19" ht="12.5">
      <c r="A1399" s="4" t="s">
        <v>5</v>
      </c>
      <c r="B1399" s="4" t="s">
        <v>119</v>
      </c>
      <c r="C1399" s="4" t="s">
        <v>2936</v>
      </c>
      <c r="E1399" s="4" t="s">
        <v>3009</v>
      </c>
      <c r="F1399" s="4" t="s">
        <v>584</v>
      </c>
      <c r="G1399" s="32">
        <v>46120</v>
      </c>
      <c r="H1399" s="9" t="s">
        <v>956</v>
      </c>
      <c r="I1399" s="4" t="s">
        <v>459</v>
      </c>
      <c r="J1399" s="4"/>
      <c r="K1399" s="67" t="b">
        <v>1</v>
      </c>
      <c r="L1399" s="4"/>
      <c r="M1399" s="4"/>
      <c r="N1399" s="67" t="b">
        <v>1</v>
      </c>
      <c r="O1399" s="4"/>
      <c r="P1399" s="4"/>
      <c r="Q1399" s="4"/>
      <c r="R1399" s="4"/>
      <c r="S1399" s="8"/>
    </row>
    <row r="1400" spans="1:19" ht="12.5">
      <c r="A1400" s="4" t="s">
        <v>5</v>
      </c>
      <c r="B1400" s="4" t="s">
        <v>119</v>
      </c>
      <c r="C1400" s="4" t="s">
        <v>2936</v>
      </c>
      <c r="E1400" s="4" t="s">
        <v>3010</v>
      </c>
      <c r="F1400" s="4" t="s">
        <v>284</v>
      </c>
      <c r="G1400" s="32">
        <v>46121</v>
      </c>
      <c r="H1400" s="9" t="s">
        <v>956</v>
      </c>
      <c r="I1400" s="4" t="s">
        <v>459</v>
      </c>
      <c r="J1400" s="4"/>
      <c r="K1400" s="67" t="b">
        <v>1</v>
      </c>
      <c r="L1400" s="4"/>
      <c r="M1400" s="4"/>
      <c r="N1400" s="67" t="b">
        <v>1</v>
      </c>
      <c r="O1400" s="4"/>
      <c r="P1400" s="4"/>
      <c r="Q1400" s="4"/>
      <c r="R1400" s="4"/>
      <c r="S1400" s="8"/>
    </row>
    <row r="1401" spans="1:19" ht="12.5">
      <c r="A1401" s="4" t="s">
        <v>5</v>
      </c>
      <c r="B1401" s="4" t="s">
        <v>119</v>
      </c>
      <c r="C1401" s="4" t="s">
        <v>2936</v>
      </c>
      <c r="E1401" s="4" t="s">
        <v>3011</v>
      </c>
      <c r="F1401" s="4" t="s">
        <v>3012</v>
      </c>
      <c r="G1401" s="32">
        <v>46121</v>
      </c>
      <c r="H1401" s="9" t="s">
        <v>956</v>
      </c>
      <c r="I1401" s="4" t="s">
        <v>459</v>
      </c>
      <c r="J1401" s="4"/>
      <c r="K1401" s="67" t="b">
        <v>1</v>
      </c>
      <c r="L1401" s="4"/>
      <c r="M1401" s="4"/>
      <c r="N1401" s="67" t="b">
        <v>1</v>
      </c>
      <c r="O1401" s="4"/>
      <c r="P1401" s="4"/>
      <c r="Q1401" s="4"/>
      <c r="R1401" s="4"/>
      <c r="S1401" s="8"/>
    </row>
    <row r="1402" spans="1:19" ht="12.5">
      <c r="A1402" s="4" t="s">
        <v>5</v>
      </c>
      <c r="B1402" s="4" t="s">
        <v>119</v>
      </c>
      <c r="C1402" s="4" t="s">
        <v>2936</v>
      </c>
      <c r="E1402" s="4" t="s">
        <v>3013</v>
      </c>
      <c r="F1402" s="4" t="s">
        <v>792</v>
      </c>
      <c r="G1402" s="32">
        <v>46121</v>
      </c>
      <c r="H1402" s="9" t="s">
        <v>956</v>
      </c>
      <c r="I1402" s="4" t="s">
        <v>459</v>
      </c>
      <c r="J1402" s="4"/>
      <c r="K1402" s="67" t="b">
        <v>1</v>
      </c>
      <c r="L1402" s="4"/>
      <c r="M1402" s="4"/>
      <c r="N1402" s="67" t="b">
        <v>1</v>
      </c>
      <c r="O1402" s="4"/>
      <c r="P1402" s="4"/>
      <c r="Q1402" s="4"/>
      <c r="R1402" s="4"/>
      <c r="S1402" s="8"/>
    </row>
    <row r="1403" spans="1:19" ht="12.5">
      <c r="A1403" s="4" t="s">
        <v>5</v>
      </c>
      <c r="B1403" s="4" t="s">
        <v>119</v>
      </c>
      <c r="C1403" s="4" t="s">
        <v>3014</v>
      </c>
      <c r="E1403" s="4" t="s">
        <v>3015</v>
      </c>
      <c r="F1403" s="4" t="s">
        <v>267</v>
      </c>
      <c r="G1403" s="32">
        <v>46121</v>
      </c>
      <c r="H1403" s="9" t="s">
        <v>956</v>
      </c>
      <c r="I1403" s="4" t="s">
        <v>941</v>
      </c>
      <c r="J1403" s="68" t="b">
        <v>1</v>
      </c>
      <c r="K1403" s="67" t="b">
        <v>1</v>
      </c>
      <c r="L1403" s="4"/>
      <c r="M1403" s="4"/>
      <c r="N1403" s="67" t="b">
        <v>1</v>
      </c>
      <c r="O1403" s="4"/>
      <c r="P1403" s="4"/>
      <c r="Q1403" s="4"/>
      <c r="R1403" s="4"/>
      <c r="S1403" s="8"/>
    </row>
    <row r="1404" spans="1:19" ht="12.5">
      <c r="A1404" s="4" t="s">
        <v>5</v>
      </c>
      <c r="B1404" s="4" t="s">
        <v>119</v>
      </c>
      <c r="C1404" s="4" t="s">
        <v>2936</v>
      </c>
      <c r="E1404" s="4" t="s">
        <v>2882</v>
      </c>
      <c r="F1404" s="4" t="s">
        <v>369</v>
      </c>
      <c r="G1404" s="32">
        <v>46121</v>
      </c>
      <c r="H1404" s="9" t="s">
        <v>956</v>
      </c>
      <c r="I1404" s="4" t="s">
        <v>459</v>
      </c>
      <c r="J1404" s="4"/>
      <c r="K1404" s="67" t="b">
        <v>1</v>
      </c>
      <c r="L1404" s="4"/>
      <c r="M1404" s="4"/>
      <c r="N1404" s="67" t="b">
        <v>1</v>
      </c>
      <c r="O1404" s="4"/>
      <c r="P1404" s="4"/>
      <c r="Q1404" s="4"/>
      <c r="R1404" s="4"/>
      <c r="S1404" s="8"/>
    </row>
    <row r="1405" spans="1:19" ht="12.5">
      <c r="A1405" s="4" t="s">
        <v>5</v>
      </c>
      <c r="B1405" s="4" t="s">
        <v>119</v>
      </c>
      <c r="C1405" s="4" t="s">
        <v>2936</v>
      </c>
      <c r="F1405" s="4" t="s">
        <v>792</v>
      </c>
      <c r="G1405" s="32">
        <v>46121</v>
      </c>
      <c r="H1405" s="9" t="s">
        <v>956</v>
      </c>
      <c r="I1405" s="4" t="s">
        <v>459</v>
      </c>
      <c r="J1405" s="4"/>
      <c r="K1405" s="67" t="b">
        <v>1</v>
      </c>
      <c r="L1405" s="4"/>
      <c r="M1405" s="4"/>
      <c r="N1405" s="67" t="b">
        <v>1</v>
      </c>
      <c r="O1405" s="4"/>
      <c r="P1405" s="4"/>
      <c r="Q1405" s="4"/>
      <c r="R1405" s="4"/>
      <c r="S1405" s="8"/>
    </row>
    <row r="1406" spans="1:19" ht="12.5">
      <c r="A1406" s="4" t="s">
        <v>5</v>
      </c>
      <c r="B1406" s="4" t="s">
        <v>119</v>
      </c>
      <c r="C1406" s="4" t="s">
        <v>3016</v>
      </c>
      <c r="E1406" s="4" t="s">
        <v>3017</v>
      </c>
      <c r="F1406" s="4" t="s">
        <v>3018</v>
      </c>
      <c r="G1406" s="32">
        <v>46121</v>
      </c>
      <c r="H1406" s="9" t="s">
        <v>956</v>
      </c>
      <c r="I1406" s="4" t="s">
        <v>974</v>
      </c>
      <c r="J1406" s="68" t="b">
        <v>1</v>
      </c>
      <c r="K1406" s="67" t="b">
        <v>1</v>
      </c>
      <c r="L1406" s="4"/>
      <c r="M1406" s="4"/>
      <c r="N1406" s="67" t="b">
        <v>1</v>
      </c>
      <c r="O1406" s="4"/>
      <c r="P1406" s="4"/>
      <c r="Q1406" s="4"/>
      <c r="R1406" s="4"/>
      <c r="S1406" s="8"/>
    </row>
    <row r="1407" spans="1:19" ht="12.5">
      <c r="A1407" s="4" t="s">
        <v>5</v>
      </c>
      <c r="B1407" s="4" t="s">
        <v>119</v>
      </c>
      <c r="C1407" s="4" t="s">
        <v>3019</v>
      </c>
      <c r="E1407" s="4" t="s">
        <v>3020</v>
      </c>
      <c r="F1407" s="4" t="s">
        <v>2238</v>
      </c>
      <c r="G1407" s="32">
        <v>46121</v>
      </c>
      <c r="H1407" s="9" t="s">
        <v>956</v>
      </c>
      <c r="I1407" s="4" t="s">
        <v>459</v>
      </c>
      <c r="J1407" s="4"/>
      <c r="K1407" s="67" t="b">
        <v>1</v>
      </c>
      <c r="L1407" s="4"/>
      <c r="M1407" s="4"/>
      <c r="N1407" s="67" t="b">
        <v>1</v>
      </c>
      <c r="O1407" s="4"/>
      <c r="P1407" s="4"/>
      <c r="Q1407" s="4"/>
      <c r="R1407" s="4"/>
      <c r="S1407" s="8"/>
    </row>
    <row r="1408" spans="1:19" ht="12.5">
      <c r="A1408" s="4" t="s">
        <v>5</v>
      </c>
      <c r="B1408" s="4" t="s">
        <v>119</v>
      </c>
      <c r="C1408" s="4" t="s">
        <v>3021</v>
      </c>
      <c r="E1408" s="4" t="s">
        <v>3022</v>
      </c>
      <c r="F1408" s="4" t="s">
        <v>2323</v>
      </c>
      <c r="G1408" s="32">
        <v>46121</v>
      </c>
      <c r="H1408" s="9" t="s">
        <v>956</v>
      </c>
      <c r="I1408" s="4" t="s">
        <v>459</v>
      </c>
      <c r="J1408" s="4"/>
      <c r="K1408" s="67" t="b">
        <v>1</v>
      </c>
      <c r="L1408" s="4"/>
      <c r="M1408" s="4"/>
      <c r="N1408" s="67" t="b">
        <v>1</v>
      </c>
      <c r="O1408" s="4"/>
      <c r="P1408" s="4"/>
      <c r="Q1408" s="4"/>
      <c r="R1408" s="4"/>
      <c r="S1408" s="8"/>
    </row>
    <row r="1409" spans="1:19" ht="12.5">
      <c r="A1409" s="4" t="s">
        <v>381</v>
      </c>
      <c r="B1409" s="4" t="s">
        <v>119</v>
      </c>
      <c r="C1409" s="4" t="s">
        <v>3023</v>
      </c>
      <c r="E1409" s="4" t="s">
        <v>3024</v>
      </c>
      <c r="F1409" s="4" t="s">
        <v>3025</v>
      </c>
      <c r="G1409" s="32">
        <v>46121</v>
      </c>
      <c r="H1409" s="9" t="s">
        <v>956</v>
      </c>
      <c r="I1409" s="4" t="s">
        <v>941</v>
      </c>
      <c r="J1409" s="68" t="b">
        <v>1</v>
      </c>
      <c r="K1409" s="67" t="b">
        <v>1</v>
      </c>
      <c r="L1409" s="4"/>
      <c r="M1409" s="4"/>
      <c r="N1409" s="67" t="b">
        <v>1</v>
      </c>
      <c r="O1409" s="4"/>
      <c r="P1409" s="4"/>
      <c r="Q1409" s="4"/>
      <c r="R1409" s="4"/>
      <c r="S1409" s="8"/>
    </row>
    <row r="1410" spans="1:19" ht="12.5">
      <c r="A1410" s="4" t="s">
        <v>381</v>
      </c>
      <c r="B1410" s="4" t="s">
        <v>119</v>
      </c>
      <c r="C1410" s="4" t="s">
        <v>2936</v>
      </c>
      <c r="E1410" s="4" t="s">
        <v>3026</v>
      </c>
      <c r="F1410" s="4" t="s">
        <v>2603</v>
      </c>
      <c r="G1410" s="32">
        <v>46121</v>
      </c>
      <c r="H1410" s="9" t="s">
        <v>956</v>
      </c>
      <c r="I1410" s="4" t="s">
        <v>459</v>
      </c>
      <c r="J1410" s="4"/>
      <c r="K1410" s="67" t="b">
        <v>1</v>
      </c>
      <c r="L1410" s="4"/>
      <c r="M1410" s="4"/>
      <c r="N1410" s="67" t="b">
        <v>1</v>
      </c>
      <c r="O1410" s="4"/>
      <c r="P1410" s="4"/>
      <c r="Q1410" s="4"/>
      <c r="R1410" s="4"/>
      <c r="S1410" s="8"/>
    </row>
    <row r="1411" spans="1:19" ht="12.5">
      <c r="A1411" s="4" t="s">
        <v>5</v>
      </c>
      <c r="B1411" s="4" t="s">
        <v>119</v>
      </c>
      <c r="C1411" s="4" t="s">
        <v>2936</v>
      </c>
      <c r="E1411" s="4" t="s">
        <v>3027</v>
      </c>
      <c r="F1411" s="4" t="s">
        <v>319</v>
      </c>
      <c r="G1411" s="32">
        <v>46121</v>
      </c>
      <c r="H1411" s="9" t="s">
        <v>956</v>
      </c>
      <c r="I1411" s="4" t="s">
        <v>459</v>
      </c>
      <c r="J1411" s="4"/>
      <c r="K1411" s="67" t="b">
        <v>1</v>
      </c>
      <c r="L1411" s="4"/>
      <c r="M1411" s="4"/>
      <c r="N1411" s="67" t="b">
        <v>1</v>
      </c>
      <c r="O1411" s="4"/>
      <c r="P1411" s="4"/>
      <c r="Q1411" s="4"/>
      <c r="R1411" s="4"/>
      <c r="S1411" s="8"/>
    </row>
    <row r="1412" spans="1:19" ht="12.5">
      <c r="A1412" s="4" t="s">
        <v>5</v>
      </c>
      <c r="B1412" s="4" t="s">
        <v>119</v>
      </c>
      <c r="C1412" s="4" t="s">
        <v>3028</v>
      </c>
      <c r="E1412" s="4" t="s">
        <v>3029</v>
      </c>
      <c r="F1412" s="4" t="s">
        <v>8</v>
      </c>
      <c r="G1412" s="32">
        <v>46121</v>
      </c>
      <c r="H1412" s="9" t="s">
        <v>956</v>
      </c>
      <c r="I1412" s="4" t="s">
        <v>459</v>
      </c>
      <c r="J1412" s="4"/>
      <c r="K1412" s="67" t="b">
        <v>1</v>
      </c>
      <c r="L1412" s="4"/>
      <c r="M1412" s="4"/>
      <c r="N1412" s="67" t="b">
        <v>1</v>
      </c>
      <c r="O1412" s="4"/>
      <c r="P1412" s="4"/>
      <c r="Q1412" s="4"/>
      <c r="R1412" s="4"/>
      <c r="S1412" s="8"/>
    </row>
    <row r="1413" spans="1:19" ht="12.5">
      <c r="A1413" s="4" t="s">
        <v>5</v>
      </c>
      <c r="B1413" s="4" t="s">
        <v>119</v>
      </c>
      <c r="C1413" s="4" t="s">
        <v>2936</v>
      </c>
      <c r="E1413" s="4" t="s">
        <v>3030</v>
      </c>
      <c r="F1413" s="4" t="s">
        <v>3031</v>
      </c>
      <c r="G1413" s="32">
        <v>46121</v>
      </c>
      <c r="H1413" s="9" t="s">
        <v>956</v>
      </c>
      <c r="I1413" s="4" t="s">
        <v>459</v>
      </c>
      <c r="J1413" s="4"/>
      <c r="K1413" s="4"/>
      <c r="L1413" s="4"/>
      <c r="M1413" s="4"/>
      <c r="N1413" s="67" t="b">
        <v>1</v>
      </c>
      <c r="O1413" s="4"/>
      <c r="P1413" s="4"/>
      <c r="Q1413" s="4"/>
      <c r="R1413" s="4"/>
      <c r="S1413" s="8"/>
    </row>
    <row r="1414" spans="1:19" ht="12.5">
      <c r="A1414" s="4" t="s">
        <v>5</v>
      </c>
      <c r="B1414" s="4" t="s">
        <v>119</v>
      </c>
      <c r="C1414" s="4" t="s">
        <v>2936</v>
      </c>
      <c r="F1414" s="4" t="s">
        <v>584</v>
      </c>
      <c r="G1414" s="32">
        <v>46121</v>
      </c>
      <c r="H1414" s="9" t="s">
        <v>956</v>
      </c>
      <c r="I1414" s="4" t="s">
        <v>459</v>
      </c>
      <c r="J1414" s="4"/>
      <c r="K1414" s="67" t="b">
        <v>1</v>
      </c>
      <c r="L1414" s="4"/>
      <c r="M1414" s="4"/>
      <c r="N1414" s="67" t="b">
        <v>1</v>
      </c>
      <c r="O1414" s="4"/>
      <c r="P1414" s="4"/>
      <c r="Q1414" s="4"/>
      <c r="R1414" s="4"/>
      <c r="S1414" s="8"/>
    </row>
    <row r="1415" spans="1:19" ht="12.5">
      <c r="A1415" s="4" t="s">
        <v>5</v>
      </c>
      <c r="B1415" s="4" t="s">
        <v>119</v>
      </c>
      <c r="C1415" s="4" t="s">
        <v>3032</v>
      </c>
      <c r="E1415" s="52" t="s">
        <v>3033</v>
      </c>
      <c r="F1415" s="4" t="s">
        <v>3034</v>
      </c>
      <c r="G1415" s="32">
        <v>46121</v>
      </c>
      <c r="H1415" s="9" t="s">
        <v>956</v>
      </c>
      <c r="I1415" s="4" t="s">
        <v>459</v>
      </c>
      <c r="J1415" s="4"/>
      <c r="K1415" s="67" t="b">
        <v>1</v>
      </c>
      <c r="L1415" s="4"/>
      <c r="M1415" s="4"/>
      <c r="N1415" s="67" t="b">
        <v>1</v>
      </c>
      <c r="O1415" s="4"/>
      <c r="P1415" s="4"/>
      <c r="Q1415" s="4"/>
      <c r="R1415" s="4"/>
      <c r="S1415" s="8"/>
    </row>
    <row r="1416" spans="1:19" ht="12.5">
      <c r="A1416" s="4" t="s">
        <v>5</v>
      </c>
      <c r="B1416" s="4" t="s">
        <v>119</v>
      </c>
      <c r="C1416" s="4" t="s">
        <v>2936</v>
      </c>
      <c r="E1416" s="4" t="s">
        <v>3035</v>
      </c>
      <c r="F1416" s="99" t="s">
        <v>210</v>
      </c>
      <c r="G1416" s="32">
        <v>46121</v>
      </c>
      <c r="H1416" s="9" t="s">
        <v>956</v>
      </c>
      <c r="I1416" s="4" t="s">
        <v>459</v>
      </c>
      <c r="J1416" s="4"/>
      <c r="K1416" s="67" t="b">
        <v>1</v>
      </c>
      <c r="L1416" s="4"/>
      <c r="M1416" s="4"/>
      <c r="N1416" s="67" t="b">
        <v>1</v>
      </c>
      <c r="O1416" s="4"/>
      <c r="P1416" s="4"/>
      <c r="Q1416" s="4"/>
      <c r="R1416" s="4"/>
      <c r="S1416" s="8"/>
    </row>
    <row r="1417" spans="1:19" ht="12.5">
      <c r="A1417" s="4" t="s">
        <v>5</v>
      </c>
      <c r="B1417" s="4" t="s">
        <v>119</v>
      </c>
      <c r="C1417" s="4" t="s">
        <v>2936</v>
      </c>
      <c r="E1417" s="100" t="s">
        <v>3036</v>
      </c>
      <c r="F1417" s="4" t="s">
        <v>8</v>
      </c>
      <c r="G1417" s="32">
        <v>46121</v>
      </c>
      <c r="H1417" s="9" t="s">
        <v>956</v>
      </c>
      <c r="I1417" s="4" t="s">
        <v>459</v>
      </c>
      <c r="J1417" s="4"/>
      <c r="K1417" s="67" t="b">
        <v>1</v>
      </c>
      <c r="L1417" s="4"/>
      <c r="M1417" s="4"/>
      <c r="N1417" s="67" t="b">
        <v>1</v>
      </c>
      <c r="O1417" s="4"/>
      <c r="P1417" s="4"/>
      <c r="Q1417" s="4"/>
      <c r="R1417" s="4"/>
      <c r="S1417" s="8"/>
    </row>
    <row r="1418" spans="1:19" ht="12.5">
      <c r="A1418" s="4" t="s">
        <v>5</v>
      </c>
      <c r="B1418" s="4" t="s">
        <v>119</v>
      </c>
      <c r="C1418" s="4" t="s">
        <v>2936</v>
      </c>
      <c r="F1418" s="4" t="s">
        <v>284</v>
      </c>
      <c r="G1418" s="32">
        <v>46121</v>
      </c>
      <c r="H1418" s="9" t="s">
        <v>956</v>
      </c>
      <c r="I1418" s="4" t="s">
        <v>459</v>
      </c>
      <c r="J1418" s="4"/>
      <c r="K1418" s="67" t="b">
        <v>1</v>
      </c>
      <c r="L1418" s="4"/>
      <c r="M1418" s="4"/>
      <c r="N1418" s="67" t="b">
        <v>1</v>
      </c>
      <c r="O1418" s="4"/>
      <c r="P1418" s="4"/>
      <c r="Q1418" s="4"/>
      <c r="R1418" s="4"/>
      <c r="S1418" s="8"/>
    </row>
    <row r="1419" spans="1:19" ht="12.5">
      <c r="A1419" s="4" t="s">
        <v>5</v>
      </c>
      <c r="B1419" s="4" t="s">
        <v>119</v>
      </c>
      <c r="C1419" s="4" t="s">
        <v>2936</v>
      </c>
      <c r="E1419" s="4" t="s">
        <v>3037</v>
      </c>
      <c r="F1419" s="4" t="s">
        <v>2992</v>
      </c>
      <c r="G1419" s="32">
        <v>46121</v>
      </c>
      <c r="H1419" s="9" t="s">
        <v>956</v>
      </c>
      <c r="I1419" s="4" t="s">
        <v>459</v>
      </c>
      <c r="J1419" s="4"/>
      <c r="K1419" s="67" t="b">
        <v>1</v>
      </c>
      <c r="L1419" s="4"/>
      <c r="M1419" s="4"/>
      <c r="N1419" s="67" t="b">
        <v>1</v>
      </c>
      <c r="O1419" s="4"/>
      <c r="P1419" s="4"/>
      <c r="Q1419" s="4"/>
      <c r="R1419" s="4"/>
      <c r="S1419" s="8"/>
    </row>
    <row r="1420" spans="1:19" ht="12.5">
      <c r="A1420" s="4" t="s">
        <v>5</v>
      </c>
      <c r="B1420" s="4" t="s">
        <v>119</v>
      </c>
      <c r="C1420" s="4" t="s">
        <v>2936</v>
      </c>
      <c r="E1420" s="4" t="s">
        <v>3038</v>
      </c>
      <c r="F1420" s="4" t="s">
        <v>2837</v>
      </c>
      <c r="G1420" s="32">
        <v>46121</v>
      </c>
      <c r="H1420" s="9" t="s">
        <v>956</v>
      </c>
      <c r="I1420" s="4" t="s">
        <v>459</v>
      </c>
      <c r="J1420" s="4"/>
      <c r="K1420" s="67" t="b">
        <v>1</v>
      </c>
      <c r="L1420" s="4"/>
      <c r="M1420" s="4"/>
      <c r="N1420" s="67" t="b">
        <v>1</v>
      </c>
      <c r="O1420" s="4"/>
      <c r="P1420" s="4"/>
      <c r="Q1420" s="4"/>
      <c r="R1420" s="4"/>
      <c r="S1420" s="8"/>
    </row>
    <row r="1421" spans="1:19" ht="12.5">
      <c r="A1421" s="4" t="s">
        <v>5</v>
      </c>
      <c r="B1421" s="4" t="s">
        <v>119</v>
      </c>
      <c r="C1421" s="4" t="s">
        <v>2936</v>
      </c>
      <c r="E1421" s="4" t="s">
        <v>3039</v>
      </c>
      <c r="G1421" s="32">
        <v>46121</v>
      </c>
      <c r="H1421" s="9" t="s">
        <v>956</v>
      </c>
      <c r="I1421" s="4" t="s">
        <v>459</v>
      </c>
      <c r="J1421" s="4"/>
      <c r="K1421" s="67" t="b">
        <v>1</v>
      </c>
      <c r="L1421" s="4"/>
      <c r="M1421" s="4"/>
      <c r="N1421" s="67" t="b">
        <v>1</v>
      </c>
      <c r="O1421" s="4"/>
      <c r="P1421" s="4"/>
      <c r="Q1421" s="4"/>
      <c r="R1421" s="4"/>
      <c r="S1421" s="8"/>
    </row>
    <row r="1422" spans="1:19" ht="12.5">
      <c r="A1422" s="4" t="s">
        <v>5</v>
      </c>
      <c r="B1422" s="4" t="s">
        <v>119</v>
      </c>
      <c r="C1422" s="4" t="s">
        <v>2936</v>
      </c>
      <c r="E1422" s="4" t="s">
        <v>3040</v>
      </c>
      <c r="F1422" s="4" t="s">
        <v>3041</v>
      </c>
      <c r="G1422" s="32">
        <v>46121</v>
      </c>
      <c r="H1422" s="9" t="s">
        <v>956</v>
      </c>
      <c r="I1422" s="4" t="s">
        <v>459</v>
      </c>
      <c r="J1422" s="4"/>
      <c r="K1422" s="67" t="b">
        <v>1</v>
      </c>
      <c r="L1422" s="4"/>
      <c r="M1422" s="4"/>
      <c r="N1422" s="67" t="b">
        <v>1</v>
      </c>
      <c r="O1422" s="4"/>
      <c r="P1422" s="4"/>
      <c r="Q1422" s="4"/>
      <c r="R1422" s="4"/>
      <c r="S1422" s="8"/>
    </row>
    <row r="1423" spans="1:19" ht="12.5">
      <c r="A1423" s="4" t="s">
        <v>5</v>
      </c>
      <c r="B1423" s="4" t="s">
        <v>119</v>
      </c>
      <c r="C1423" s="4" t="s">
        <v>2936</v>
      </c>
      <c r="E1423" s="4" t="s">
        <v>3042</v>
      </c>
      <c r="F1423" s="4" t="s">
        <v>3043</v>
      </c>
      <c r="G1423" s="32">
        <v>46121</v>
      </c>
      <c r="H1423" s="9" t="s">
        <v>956</v>
      </c>
      <c r="I1423" s="4" t="s">
        <v>459</v>
      </c>
      <c r="J1423" s="4"/>
      <c r="K1423" s="67" t="b">
        <v>1</v>
      </c>
      <c r="L1423" s="4"/>
      <c r="M1423" s="4"/>
      <c r="N1423" s="67" t="b">
        <v>1</v>
      </c>
      <c r="O1423" s="4"/>
      <c r="P1423" s="4"/>
      <c r="Q1423" s="4"/>
      <c r="R1423" s="4"/>
      <c r="S1423" s="8"/>
    </row>
    <row r="1424" spans="1:19" ht="12.5">
      <c r="A1424" s="4" t="s">
        <v>5</v>
      </c>
      <c r="B1424" s="4" t="s">
        <v>119</v>
      </c>
      <c r="C1424" s="4" t="s">
        <v>3044</v>
      </c>
      <c r="E1424" s="4" t="s">
        <v>3045</v>
      </c>
      <c r="F1424" s="4" t="s">
        <v>792</v>
      </c>
      <c r="G1424" s="32">
        <v>46121</v>
      </c>
      <c r="H1424" s="9" t="s">
        <v>956</v>
      </c>
      <c r="I1424" s="4" t="s">
        <v>459</v>
      </c>
      <c r="J1424" s="4"/>
      <c r="K1424" s="67" t="b">
        <v>1</v>
      </c>
      <c r="L1424" s="4"/>
      <c r="M1424" s="4"/>
      <c r="N1424" s="67" t="b">
        <v>1</v>
      </c>
      <c r="O1424" s="4"/>
      <c r="P1424" s="4"/>
      <c r="Q1424" s="4"/>
      <c r="R1424" s="4"/>
      <c r="S1424" s="8"/>
    </row>
    <row r="1425" spans="1:19" ht="12.5">
      <c r="A1425" s="4" t="s">
        <v>5</v>
      </c>
      <c r="B1425" s="4" t="s">
        <v>119</v>
      </c>
      <c r="C1425" s="4" t="s">
        <v>2936</v>
      </c>
      <c r="E1425" s="4" t="s">
        <v>3046</v>
      </c>
      <c r="F1425" s="4" t="s">
        <v>792</v>
      </c>
      <c r="G1425" s="32">
        <v>46121</v>
      </c>
      <c r="H1425" s="9" t="s">
        <v>956</v>
      </c>
      <c r="I1425" s="4" t="s">
        <v>459</v>
      </c>
      <c r="J1425" s="4"/>
      <c r="K1425" s="67" t="b">
        <v>1</v>
      </c>
      <c r="L1425" s="4"/>
      <c r="M1425" s="4"/>
      <c r="N1425" s="67" t="b">
        <v>1</v>
      </c>
      <c r="O1425" s="4"/>
      <c r="P1425" s="4"/>
      <c r="Q1425" s="67" t="b">
        <v>1</v>
      </c>
      <c r="R1425" s="4"/>
      <c r="S1425" s="8"/>
    </row>
    <row r="1426" spans="1:19" ht="12.5">
      <c r="A1426" s="4" t="s">
        <v>5</v>
      </c>
      <c r="B1426" s="4" t="s">
        <v>119</v>
      </c>
      <c r="C1426" s="4" t="s">
        <v>2936</v>
      </c>
      <c r="E1426" s="4" t="s">
        <v>3047</v>
      </c>
      <c r="F1426" s="4" t="s">
        <v>2828</v>
      </c>
      <c r="G1426" s="32">
        <v>46121</v>
      </c>
      <c r="H1426" s="9" t="s">
        <v>956</v>
      </c>
      <c r="I1426" s="4" t="s">
        <v>459</v>
      </c>
      <c r="J1426" s="4"/>
      <c r="K1426" s="67" t="b">
        <v>1</v>
      </c>
      <c r="L1426" s="4"/>
      <c r="M1426" s="4"/>
      <c r="N1426" s="67" t="b">
        <v>1</v>
      </c>
      <c r="O1426" s="4"/>
      <c r="P1426" s="4"/>
      <c r="Q1426" s="67" t="b">
        <v>1</v>
      </c>
      <c r="R1426" s="4"/>
      <c r="S1426" s="8"/>
    </row>
    <row r="1427" spans="1:19" ht="12.5">
      <c r="A1427" s="4" t="s">
        <v>5</v>
      </c>
      <c r="B1427" s="4" t="s">
        <v>119</v>
      </c>
      <c r="C1427" s="4" t="s">
        <v>2936</v>
      </c>
      <c r="E1427" s="4" t="s">
        <v>3048</v>
      </c>
      <c r="F1427" s="4" t="s">
        <v>3049</v>
      </c>
      <c r="G1427" s="32">
        <v>46122</v>
      </c>
      <c r="H1427" s="9" t="s">
        <v>956</v>
      </c>
      <c r="I1427" s="4" t="s">
        <v>459</v>
      </c>
      <c r="J1427" s="4"/>
      <c r="K1427" s="67" t="b">
        <v>1</v>
      </c>
      <c r="L1427" s="4"/>
      <c r="M1427" s="4"/>
      <c r="N1427" s="67" t="b">
        <v>1</v>
      </c>
      <c r="O1427" s="4"/>
      <c r="P1427" s="4"/>
      <c r="Q1427" s="67" t="b">
        <v>1</v>
      </c>
      <c r="R1427" s="4"/>
      <c r="S1427" s="8"/>
    </row>
    <row r="1428" spans="1:19" ht="12.5">
      <c r="A1428" s="4" t="s">
        <v>5</v>
      </c>
      <c r="B1428" s="4" t="s">
        <v>119</v>
      </c>
      <c r="C1428" s="4" t="s">
        <v>2936</v>
      </c>
      <c r="E1428" s="4" t="s">
        <v>3050</v>
      </c>
      <c r="F1428" s="4" t="s">
        <v>792</v>
      </c>
      <c r="G1428" s="32">
        <v>46122</v>
      </c>
      <c r="H1428" s="9" t="s">
        <v>956</v>
      </c>
      <c r="I1428" s="4" t="s">
        <v>459</v>
      </c>
      <c r="J1428" s="4"/>
      <c r="K1428" s="67" t="b">
        <v>1</v>
      </c>
      <c r="L1428" s="4"/>
      <c r="M1428" s="4"/>
      <c r="N1428" s="67" t="b">
        <v>1</v>
      </c>
      <c r="O1428" s="4"/>
      <c r="P1428" s="4"/>
      <c r="Q1428" s="67" t="b">
        <v>1</v>
      </c>
      <c r="R1428" s="4"/>
      <c r="S1428" s="8"/>
    </row>
    <row r="1429" spans="1:19" ht="12.5">
      <c r="A1429" s="4" t="s">
        <v>5</v>
      </c>
      <c r="B1429" s="4" t="s">
        <v>119</v>
      </c>
      <c r="C1429" s="4" t="s">
        <v>2936</v>
      </c>
      <c r="E1429" s="4" t="s">
        <v>3051</v>
      </c>
      <c r="F1429" s="4" t="s">
        <v>496</v>
      </c>
      <c r="G1429" s="32">
        <v>46122</v>
      </c>
      <c r="H1429" s="9" t="s">
        <v>956</v>
      </c>
      <c r="I1429" s="4" t="s">
        <v>459</v>
      </c>
      <c r="J1429" s="4"/>
      <c r="K1429" s="67" t="b">
        <v>1</v>
      </c>
      <c r="L1429" s="4"/>
      <c r="M1429" s="4"/>
      <c r="N1429" s="67" t="b">
        <v>1</v>
      </c>
      <c r="O1429" s="4"/>
      <c r="P1429" s="4"/>
      <c r="Q1429" s="67" t="b">
        <v>1</v>
      </c>
      <c r="R1429" s="4"/>
      <c r="S1429" s="8"/>
    </row>
    <row r="1430" spans="1:19" ht="12.5">
      <c r="A1430" s="4" t="s">
        <v>5</v>
      </c>
      <c r="B1430" s="4" t="s">
        <v>119</v>
      </c>
      <c r="C1430" s="4" t="s">
        <v>3052</v>
      </c>
      <c r="E1430" s="4" t="s">
        <v>3053</v>
      </c>
      <c r="F1430" s="4" t="s">
        <v>3054</v>
      </c>
      <c r="G1430" s="32">
        <v>46122</v>
      </c>
      <c r="H1430" s="9" t="s">
        <v>956</v>
      </c>
      <c r="I1430" s="4" t="s">
        <v>459</v>
      </c>
      <c r="J1430" s="4"/>
      <c r="K1430" s="67" t="b">
        <v>1</v>
      </c>
      <c r="L1430" s="4"/>
      <c r="M1430" s="4"/>
      <c r="N1430" s="67" t="b">
        <v>1</v>
      </c>
      <c r="O1430" s="4"/>
      <c r="P1430" s="4"/>
      <c r="Q1430" s="67" t="b">
        <v>1</v>
      </c>
      <c r="R1430" s="4"/>
      <c r="S1430" s="8"/>
    </row>
    <row r="1431" spans="1:19" ht="12.5">
      <c r="A1431" s="4" t="s">
        <v>5</v>
      </c>
      <c r="B1431" s="4" t="s">
        <v>119</v>
      </c>
      <c r="C1431" s="4" t="s">
        <v>3055</v>
      </c>
      <c r="E1431" s="4" t="s">
        <v>3056</v>
      </c>
      <c r="F1431" s="4" t="s">
        <v>369</v>
      </c>
      <c r="G1431" s="32">
        <v>46122</v>
      </c>
      <c r="H1431" s="9" t="s">
        <v>856</v>
      </c>
      <c r="I1431" s="4" t="s">
        <v>459</v>
      </c>
      <c r="J1431" s="68" t="b">
        <v>1</v>
      </c>
      <c r="K1431" s="67" t="b">
        <v>1</v>
      </c>
      <c r="L1431" s="4"/>
      <c r="M1431" s="4"/>
      <c r="N1431" s="67" t="b">
        <v>1</v>
      </c>
      <c r="O1431" s="4"/>
      <c r="P1431" s="4"/>
      <c r="Q1431" s="67" t="b">
        <v>1</v>
      </c>
      <c r="R1431" s="4"/>
      <c r="S1431" s="8"/>
    </row>
    <row r="1432" spans="1:19" ht="14.5">
      <c r="A1432" s="4" t="s">
        <v>5</v>
      </c>
      <c r="B1432" s="4" t="s">
        <v>119</v>
      </c>
      <c r="C1432" s="53" t="s">
        <v>3057</v>
      </c>
      <c r="E1432" s="4" t="s">
        <v>3058</v>
      </c>
      <c r="F1432" s="53" t="s">
        <v>3059</v>
      </c>
      <c r="G1432" s="32">
        <v>46122</v>
      </c>
      <c r="H1432" s="9" t="s">
        <v>856</v>
      </c>
      <c r="I1432" s="4" t="s">
        <v>459</v>
      </c>
      <c r="J1432" s="4"/>
      <c r="K1432" s="67" t="b">
        <v>1</v>
      </c>
      <c r="L1432" s="4"/>
      <c r="M1432" s="4"/>
      <c r="N1432" s="67" t="b">
        <v>1</v>
      </c>
      <c r="O1432" s="4"/>
      <c r="P1432" s="4"/>
      <c r="Q1432" s="67" t="b">
        <v>1</v>
      </c>
      <c r="R1432" s="4"/>
      <c r="S1432" s="8"/>
    </row>
    <row r="1433" spans="1:19" ht="12.5">
      <c r="A1433" s="4" t="s">
        <v>5</v>
      </c>
      <c r="B1433" s="4" t="s">
        <v>119</v>
      </c>
      <c r="C1433" s="4" t="s">
        <v>3060</v>
      </c>
      <c r="E1433" s="4" t="s">
        <v>3061</v>
      </c>
      <c r="F1433" s="4" t="s">
        <v>2828</v>
      </c>
      <c r="G1433" s="32">
        <v>46122</v>
      </c>
      <c r="H1433" s="9" t="s">
        <v>856</v>
      </c>
      <c r="I1433" s="4" t="s">
        <v>459</v>
      </c>
      <c r="J1433" s="4"/>
      <c r="K1433" s="67" t="b">
        <v>1</v>
      </c>
      <c r="L1433" s="4"/>
      <c r="M1433" s="4"/>
      <c r="N1433" s="67" t="b">
        <v>1</v>
      </c>
      <c r="O1433" s="4"/>
      <c r="P1433" s="4"/>
      <c r="Q1433" s="67" t="b">
        <v>1</v>
      </c>
      <c r="R1433" s="4"/>
      <c r="S1433" s="8"/>
    </row>
    <row r="1434" spans="1:19" ht="14">
      <c r="A1434" s="4" t="s">
        <v>5</v>
      </c>
      <c r="B1434" s="4" t="s">
        <v>119</v>
      </c>
      <c r="C1434" s="4" t="s">
        <v>3062</v>
      </c>
      <c r="E1434" s="4" t="s">
        <v>3063</v>
      </c>
      <c r="F1434" s="101" t="s">
        <v>284</v>
      </c>
      <c r="G1434" s="32">
        <v>46122</v>
      </c>
      <c r="H1434" s="9" t="s">
        <v>856</v>
      </c>
      <c r="I1434" s="4" t="s">
        <v>459</v>
      </c>
      <c r="J1434" s="4"/>
      <c r="K1434" s="67" t="b">
        <v>1</v>
      </c>
      <c r="L1434" s="4"/>
      <c r="M1434" s="4"/>
      <c r="N1434" s="67" t="b">
        <v>1</v>
      </c>
      <c r="O1434" s="4"/>
      <c r="P1434" s="4"/>
      <c r="Q1434" s="67" t="b">
        <v>1</v>
      </c>
      <c r="R1434" s="4"/>
      <c r="S1434" s="8"/>
    </row>
    <row r="1435" spans="1:19" ht="14.5">
      <c r="A1435" s="4" t="s">
        <v>5</v>
      </c>
      <c r="B1435" s="4" t="s">
        <v>119</v>
      </c>
      <c r="C1435" s="53" t="s">
        <v>3064</v>
      </c>
      <c r="E1435" s="4" t="s">
        <v>3065</v>
      </c>
      <c r="F1435" s="4" t="s">
        <v>2881</v>
      </c>
      <c r="G1435" s="32">
        <v>46122</v>
      </c>
      <c r="H1435" s="9" t="s">
        <v>856</v>
      </c>
      <c r="I1435" s="4" t="s">
        <v>459</v>
      </c>
      <c r="J1435" s="4"/>
      <c r="K1435" s="67" t="b">
        <v>1</v>
      </c>
      <c r="L1435" s="4"/>
      <c r="M1435" s="4"/>
      <c r="N1435" s="67" t="b">
        <v>1</v>
      </c>
      <c r="O1435" s="4"/>
      <c r="P1435" s="4"/>
      <c r="Q1435" s="67" t="b">
        <v>1</v>
      </c>
      <c r="R1435" s="4"/>
      <c r="S1435" s="8"/>
    </row>
    <row r="1436" spans="1:19" ht="14.5">
      <c r="A1436" s="4" t="s">
        <v>5</v>
      </c>
      <c r="B1436" s="4" t="s">
        <v>119</v>
      </c>
      <c r="C1436" s="53" t="s">
        <v>3066</v>
      </c>
      <c r="E1436" s="4" t="s">
        <v>3067</v>
      </c>
      <c r="F1436" s="4" t="s">
        <v>2881</v>
      </c>
      <c r="G1436" s="32">
        <v>46122</v>
      </c>
      <c r="H1436" s="9" t="s">
        <v>956</v>
      </c>
      <c r="I1436" s="4" t="s">
        <v>459</v>
      </c>
      <c r="J1436" s="4"/>
      <c r="K1436" s="67" t="b">
        <v>1</v>
      </c>
      <c r="L1436" s="4"/>
      <c r="M1436" s="4"/>
      <c r="N1436" s="67" t="b">
        <v>1</v>
      </c>
      <c r="O1436" s="4"/>
      <c r="P1436" s="4"/>
      <c r="Q1436" s="67" t="b">
        <v>1</v>
      </c>
      <c r="R1436" s="4"/>
      <c r="S1436" s="8"/>
    </row>
    <row r="1437" spans="1:19" ht="14.5">
      <c r="A1437" s="4" t="s">
        <v>5</v>
      </c>
      <c r="B1437" s="4" t="s">
        <v>119</v>
      </c>
      <c r="C1437" s="53" t="s">
        <v>3068</v>
      </c>
      <c r="E1437" s="4" t="s">
        <v>3069</v>
      </c>
      <c r="F1437" s="4" t="s">
        <v>2881</v>
      </c>
      <c r="G1437" s="32">
        <v>46122</v>
      </c>
      <c r="H1437" s="9" t="s">
        <v>956</v>
      </c>
      <c r="I1437" s="4" t="s">
        <v>459</v>
      </c>
      <c r="J1437" s="4"/>
      <c r="K1437" s="67" t="b">
        <v>1</v>
      </c>
      <c r="L1437" s="4"/>
      <c r="M1437" s="4"/>
      <c r="N1437" s="67" t="b">
        <v>1</v>
      </c>
      <c r="O1437" s="4"/>
      <c r="P1437" s="4"/>
      <c r="Q1437" s="67" t="b">
        <v>1</v>
      </c>
      <c r="R1437" s="4"/>
      <c r="S1437" s="8"/>
    </row>
    <row r="1438" spans="1:19" ht="14.5">
      <c r="A1438" s="4" t="s">
        <v>5</v>
      </c>
      <c r="B1438" s="4" t="s">
        <v>119</v>
      </c>
      <c r="C1438" s="53" t="s">
        <v>3070</v>
      </c>
      <c r="E1438" s="4" t="s">
        <v>3071</v>
      </c>
      <c r="F1438" s="4" t="s">
        <v>70</v>
      </c>
      <c r="G1438" s="32">
        <v>46122</v>
      </c>
      <c r="H1438" s="9" t="s">
        <v>956</v>
      </c>
      <c r="I1438" s="4" t="s">
        <v>459</v>
      </c>
      <c r="J1438" s="4"/>
      <c r="K1438" s="67" t="b">
        <v>1</v>
      </c>
      <c r="L1438" s="4"/>
      <c r="M1438" s="4"/>
      <c r="N1438" s="67" t="b">
        <v>1</v>
      </c>
      <c r="O1438" s="4"/>
      <c r="P1438" s="4"/>
      <c r="Q1438" s="67" t="b">
        <v>1</v>
      </c>
      <c r="R1438" s="4"/>
      <c r="S1438" s="8"/>
    </row>
    <row r="1439" spans="1:19" ht="14.5">
      <c r="A1439" s="4" t="s">
        <v>5</v>
      </c>
      <c r="B1439" s="4" t="s">
        <v>119</v>
      </c>
      <c r="C1439" s="53" t="s">
        <v>3072</v>
      </c>
      <c r="D1439" s="4" t="s">
        <v>3073</v>
      </c>
      <c r="E1439" s="4">
        <v>584242439474</v>
      </c>
      <c r="F1439" s="4" t="s">
        <v>3074</v>
      </c>
      <c r="G1439" s="32">
        <v>46122</v>
      </c>
      <c r="H1439" s="4" t="s">
        <v>856</v>
      </c>
      <c r="I1439" s="4" t="s">
        <v>459</v>
      </c>
      <c r="K1439" s="67" t="b">
        <v>1</v>
      </c>
      <c r="N1439" s="67" t="b">
        <v>1</v>
      </c>
      <c r="Q1439" s="67" t="b">
        <v>1</v>
      </c>
      <c r="S1439" s="8"/>
    </row>
    <row r="1440" spans="1:19" ht="14.5">
      <c r="A1440" s="4" t="s">
        <v>381</v>
      </c>
      <c r="B1440" s="4" t="s">
        <v>119</v>
      </c>
      <c r="C1440" s="53" t="s">
        <v>3075</v>
      </c>
      <c r="D1440" s="4" t="s">
        <v>3076</v>
      </c>
      <c r="E1440" s="4">
        <v>593962580076</v>
      </c>
      <c r="F1440" s="4" t="s">
        <v>1150</v>
      </c>
      <c r="G1440" s="32">
        <v>46123</v>
      </c>
      <c r="H1440" s="4" t="s">
        <v>856</v>
      </c>
      <c r="I1440" s="4" t="s">
        <v>459</v>
      </c>
      <c r="K1440" s="67" t="b">
        <v>1</v>
      </c>
      <c r="N1440" s="67" t="b">
        <v>1</v>
      </c>
      <c r="Q1440" s="67" t="b">
        <v>1</v>
      </c>
      <c r="S1440" s="8"/>
    </row>
    <row r="1441" spans="1:24" ht="14.5">
      <c r="A1441" s="4" t="s">
        <v>381</v>
      </c>
      <c r="B1441" s="4" t="s">
        <v>119</v>
      </c>
      <c r="C1441" s="53" t="s">
        <v>3077</v>
      </c>
      <c r="D1441" s="4" t="s">
        <v>3078</v>
      </c>
      <c r="E1441" s="4">
        <v>556142211820</v>
      </c>
      <c r="F1441" s="4" t="s">
        <v>2178</v>
      </c>
      <c r="G1441" s="32">
        <v>46123</v>
      </c>
      <c r="H1441" s="4" t="s">
        <v>856</v>
      </c>
      <c r="I1441" s="4" t="s">
        <v>459</v>
      </c>
      <c r="K1441" s="67"/>
      <c r="L1441" s="68" t="b">
        <v>1</v>
      </c>
      <c r="N1441" s="67" t="b">
        <v>1</v>
      </c>
      <c r="S1441" s="8"/>
    </row>
    <row r="1442" spans="1:24" ht="14.5">
      <c r="A1442" s="4" t="s">
        <v>5</v>
      </c>
      <c r="B1442" s="4" t="s">
        <v>119</v>
      </c>
      <c r="C1442" s="53" t="s">
        <v>389</v>
      </c>
      <c r="D1442" s="4" t="s">
        <v>1560</v>
      </c>
      <c r="E1442" s="4">
        <v>34663228333</v>
      </c>
      <c r="F1442" s="4" t="s">
        <v>3079</v>
      </c>
      <c r="G1442" s="32">
        <v>46123</v>
      </c>
      <c r="H1442" s="4" t="s">
        <v>856</v>
      </c>
      <c r="I1442" s="4" t="s">
        <v>448</v>
      </c>
      <c r="K1442" s="67" t="b">
        <v>1</v>
      </c>
      <c r="N1442" s="67" t="b">
        <v>1</v>
      </c>
      <c r="Q1442" s="67" t="b">
        <v>1</v>
      </c>
      <c r="S1442" s="4" t="s">
        <v>119</v>
      </c>
      <c r="T1442" s="33">
        <v>46125</v>
      </c>
      <c r="U1442" s="6" t="s">
        <v>3080</v>
      </c>
      <c r="V1442" s="4">
        <v>0</v>
      </c>
      <c r="W1442" s="4">
        <v>1</v>
      </c>
      <c r="X1442" s="8">
        <v>46023</v>
      </c>
    </row>
    <row r="1443" spans="1:24" ht="14.5">
      <c r="A1443" s="4" t="s">
        <v>5</v>
      </c>
      <c r="B1443" s="4" t="s">
        <v>119</v>
      </c>
      <c r="C1443" s="53" t="s">
        <v>3081</v>
      </c>
      <c r="D1443" s="4" t="s">
        <v>3082</v>
      </c>
      <c r="E1443" s="4">
        <v>5492901536758</v>
      </c>
      <c r="F1443" s="4" t="s">
        <v>102</v>
      </c>
      <c r="G1443" s="32">
        <v>46124</v>
      </c>
      <c r="H1443" s="4" t="s">
        <v>856</v>
      </c>
      <c r="I1443" s="4" t="s">
        <v>941</v>
      </c>
      <c r="K1443" s="67" t="b">
        <v>1</v>
      </c>
      <c r="N1443" s="67" t="b">
        <v>1</v>
      </c>
      <c r="S1443" s="8"/>
    </row>
    <row r="1444" spans="1:24" ht="14.5">
      <c r="A1444" s="4" t="s">
        <v>381</v>
      </c>
      <c r="B1444" s="4" t="s">
        <v>119</v>
      </c>
      <c r="C1444" s="53" t="s">
        <v>3083</v>
      </c>
      <c r="D1444" s="4" t="s">
        <v>3084</v>
      </c>
      <c r="E1444" s="4">
        <v>524662131917</v>
      </c>
      <c r="F1444" s="4" t="s">
        <v>1150</v>
      </c>
      <c r="G1444" s="32">
        <v>46124</v>
      </c>
      <c r="H1444" s="4" t="s">
        <v>856</v>
      </c>
      <c r="I1444" s="4" t="s">
        <v>459</v>
      </c>
      <c r="K1444" s="67" t="b">
        <v>1</v>
      </c>
      <c r="N1444" s="67" t="b">
        <v>1</v>
      </c>
      <c r="S1444" s="8"/>
    </row>
    <row r="1445" spans="1:24" ht="14.5">
      <c r="A1445" s="4" t="s">
        <v>5</v>
      </c>
      <c r="B1445" s="4" t="s">
        <v>119</v>
      </c>
      <c r="C1445" s="53" t="s">
        <v>3085</v>
      </c>
      <c r="D1445" s="4" t="s">
        <v>3086</v>
      </c>
      <c r="E1445" s="4">
        <v>34685081181</v>
      </c>
      <c r="F1445" s="4" t="s">
        <v>3087</v>
      </c>
      <c r="G1445" s="32">
        <v>46125</v>
      </c>
      <c r="H1445" s="4" t="s">
        <v>856</v>
      </c>
      <c r="I1445" s="4" t="s">
        <v>459</v>
      </c>
      <c r="J1445" s="68" t="b">
        <v>1</v>
      </c>
      <c r="K1445" s="67" t="b">
        <v>1</v>
      </c>
      <c r="N1445" s="67" t="b">
        <v>1</v>
      </c>
      <c r="S1445" s="8"/>
    </row>
    <row r="1446" spans="1:24" ht="14.5">
      <c r="A1446" s="4" t="s">
        <v>5</v>
      </c>
      <c r="B1446" s="4" t="s">
        <v>119</v>
      </c>
      <c r="C1446" s="53" t="s">
        <v>3088</v>
      </c>
      <c r="D1446" s="4" t="s">
        <v>3089</v>
      </c>
      <c r="E1446" s="4">
        <v>593984105427</v>
      </c>
      <c r="F1446" s="4" t="s">
        <v>3090</v>
      </c>
      <c r="G1446" s="32">
        <v>46125</v>
      </c>
      <c r="H1446" s="4" t="s">
        <v>856</v>
      </c>
      <c r="I1446" s="4" t="s">
        <v>2646</v>
      </c>
      <c r="K1446" s="67" t="b">
        <v>1</v>
      </c>
      <c r="N1446" s="67" t="b">
        <v>1</v>
      </c>
      <c r="S1446" s="8"/>
    </row>
    <row r="1447" spans="1:24" ht="14.5">
      <c r="A1447" s="4" t="s">
        <v>5</v>
      </c>
      <c r="B1447" s="4" t="s">
        <v>119</v>
      </c>
      <c r="C1447" s="53" t="s">
        <v>3091</v>
      </c>
      <c r="D1447" s="4" t="s">
        <v>2554</v>
      </c>
      <c r="E1447" s="4">
        <v>34686528582</v>
      </c>
      <c r="F1447" s="4" t="s">
        <v>3092</v>
      </c>
      <c r="G1447" s="32">
        <v>46125</v>
      </c>
      <c r="H1447" s="4" t="s">
        <v>856</v>
      </c>
      <c r="I1447" s="4" t="s">
        <v>459</v>
      </c>
      <c r="J1447" s="68" t="b">
        <v>1</v>
      </c>
      <c r="K1447" s="67" t="b">
        <v>1</v>
      </c>
      <c r="N1447" s="67" t="b">
        <v>1</v>
      </c>
      <c r="Q1447" s="67" t="b">
        <v>1</v>
      </c>
      <c r="S1447" s="8"/>
    </row>
    <row r="1448" spans="1:24" ht="12.5">
      <c r="A1448" s="4" t="s">
        <v>5</v>
      </c>
      <c r="B1448" s="4" t="s">
        <v>119</v>
      </c>
      <c r="C1448" s="4" t="s">
        <v>3093</v>
      </c>
      <c r="E1448" s="4" t="s">
        <v>3094</v>
      </c>
      <c r="F1448" s="4" t="s">
        <v>3095</v>
      </c>
      <c r="G1448" s="32">
        <v>46125</v>
      </c>
      <c r="H1448" s="9" t="s">
        <v>956</v>
      </c>
      <c r="I1448" s="4" t="s">
        <v>886</v>
      </c>
      <c r="J1448" s="68" t="b">
        <v>1</v>
      </c>
      <c r="K1448" s="67" t="b">
        <v>1</v>
      </c>
      <c r="L1448" s="4"/>
      <c r="M1448" s="4"/>
      <c r="N1448" s="67" t="b">
        <v>1</v>
      </c>
      <c r="O1448" s="4"/>
      <c r="P1448" s="4"/>
      <c r="Q1448" s="4"/>
      <c r="R1448" s="4"/>
      <c r="S1448" s="8"/>
    </row>
    <row r="1449" spans="1:24" ht="12.5">
      <c r="A1449" s="4" t="s">
        <v>240</v>
      </c>
      <c r="B1449" s="4" t="s">
        <v>119</v>
      </c>
      <c r="C1449" s="4" t="s">
        <v>3096</v>
      </c>
      <c r="E1449" s="4">
        <v>34678849616</v>
      </c>
      <c r="F1449" s="4" t="s">
        <v>3097</v>
      </c>
      <c r="G1449" s="32">
        <v>46125</v>
      </c>
      <c r="H1449" s="9" t="s">
        <v>956</v>
      </c>
      <c r="I1449" s="4" t="s">
        <v>459</v>
      </c>
      <c r="J1449" s="68" t="b">
        <v>1</v>
      </c>
      <c r="K1449" s="67" t="b">
        <v>1</v>
      </c>
      <c r="L1449" s="4"/>
      <c r="M1449" s="4"/>
      <c r="N1449" s="67" t="b">
        <v>1</v>
      </c>
      <c r="O1449" s="4"/>
      <c r="P1449" s="4"/>
      <c r="Q1449" s="4"/>
      <c r="R1449" s="4"/>
      <c r="S1449" s="8"/>
    </row>
    <row r="1450" spans="1:24" ht="12.5">
      <c r="A1450" s="4" t="s">
        <v>381</v>
      </c>
      <c r="B1450" s="4" t="s">
        <v>119</v>
      </c>
      <c r="C1450" s="4" t="s">
        <v>3098</v>
      </c>
      <c r="D1450" s="4" t="s">
        <v>3099</v>
      </c>
      <c r="E1450" s="4">
        <v>34636386394</v>
      </c>
      <c r="F1450" s="4" t="s">
        <v>1150</v>
      </c>
      <c r="G1450" s="32">
        <v>46125</v>
      </c>
      <c r="H1450" s="9" t="s">
        <v>856</v>
      </c>
      <c r="I1450" s="4" t="s">
        <v>459</v>
      </c>
      <c r="J1450" s="68" t="b">
        <v>0</v>
      </c>
      <c r="N1450" s="67" t="b">
        <v>1</v>
      </c>
      <c r="Q1450" s="67" t="b">
        <v>1</v>
      </c>
      <c r="S1450" s="8"/>
    </row>
    <row r="1451" spans="1:24" ht="12.5">
      <c r="A1451" s="4" t="s">
        <v>5</v>
      </c>
      <c r="B1451" s="4" t="s">
        <v>119</v>
      </c>
      <c r="C1451" s="4" t="s">
        <v>3100</v>
      </c>
      <c r="D1451" s="4" t="s">
        <v>3101</v>
      </c>
      <c r="E1451" s="4">
        <v>34611533863</v>
      </c>
      <c r="F1451" s="4" t="s">
        <v>392</v>
      </c>
      <c r="G1451" s="32">
        <v>46125</v>
      </c>
      <c r="H1451" s="9" t="s">
        <v>856</v>
      </c>
      <c r="I1451" s="4" t="s">
        <v>448</v>
      </c>
      <c r="J1451" s="68" t="b">
        <v>0</v>
      </c>
      <c r="N1451" s="67" t="b">
        <v>1</v>
      </c>
      <c r="S1451" s="8"/>
    </row>
    <row r="1452" spans="1:24" ht="12.5">
      <c r="A1452" s="4" t="s">
        <v>5</v>
      </c>
      <c r="B1452" s="4" t="s">
        <v>119</v>
      </c>
      <c r="C1452" s="4" t="s">
        <v>3102</v>
      </c>
      <c r="D1452" s="4" t="s">
        <v>3103</v>
      </c>
      <c r="E1452" s="4">
        <v>34633938327</v>
      </c>
      <c r="F1452" s="4" t="s">
        <v>3104</v>
      </c>
      <c r="G1452" s="32">
        <v>46126</v>
      </c>
      <c r="H1452" s="9" t="s">
        <v>856</v>
      </c>
      <c r="I1452" s="4" t="s">
        <v>459</v>
      </c>
      <c r="J1452" s="68" t="b">
        <v>0</v>
      </c>
      <c r="L1452" s="68" t="b">
        <v>1</v>
      </c>
      <c r="N1452" s="67"/>
      <c r="S1452" s="8"/>
    </row>
    <row r="1453" spans="1:24" ht="12.5">
      <c r="A1453" s="4" t="s">
        <v>5</v>
      </c>
      <c r="B1453" s="4" t="s">
        <v>119</v>
      </c>
      <c r="C1453" s="4" t="s">
        <v>3105</v>
      </c>
      <c r="D1453" s="4" t="s">
        <v>3106</v>
      </c>
      <c r="E1453" s="4">
        <v>51988160638</v>
      </c>
      <c r="F1453" s="4" t="s">
        <v>3107</v>
      </c>
      <c r="G1453" s="32">
        <v>46126</v>
      </c>
      <c r="H1453" s="9" t="s">
        <v>856</v>
      </c>
      <c r="I1453" s="4" t="s">
        <v>459</v>
      </c>
      <c r="J1453" s="68" t="b">
        <v>0</v>
      </c>
      <c r="N1453" s="67"/>
      <c r="Q1453" s="67" t="b">
        <v>1</v>
      </c>
      <c r="S1453" s="8"/>
    </row>
    <row r="1454" spans="1:24" ht="12.5">
      <c r="A1454" s="4" t="s">
        <v>5</v>
      </c>
      <c r="B1454" s="4" t="s">
        <v>119</v>
      </c>
      <c r="C1454" s="4" t="s">
        <v>3108</v>
      </c>
      <c r="D1454" s="4" t="s">
        <v>3109</v>
      </c>
      <c r="E1454" s="4">
        <v>56933118029</v>
      </c>
      <c r="F1454" s="4" t="s">
        <v>3104</v>
      </c>
      <c r="G1454" s="32">
        <v>46126</v>
      </c>
      <c r="H1454" s="9" t="s">
        <v>856</v>
      </c>
      <c r="I1454" s="4" t="s">
        <v>459</v>
      </c>
      <c r="J1454" s="68" t="b">
        <v>0</v>
      </c>
      <c r="N1454" s="67" t="b">
        <v>1</v>
      </c>
      <c r="Q1454" s="67" t="b">
        <v>1</v>
      </c>
      <c r="S1454" s="8"/>
    </row>
    <row r="1455" spans="1:24" ht="12.5">
      <c r="A1455" s="4" t="s">
        <v>5</v>
      </c>
      <c r="B1455" s="4" t="s">
        <v>119</v>
      </c>
      <c r="C1455" s="4" t="s">
        <v>3110</v>
      </c>
      <c r="D1455" s="4" t="s">
        <v>3111</v>
      </c>
      <c r="E1455" s="4">
        <v>525541813707</v>
      </c>
      <c r="F1455" s="4" t="s">
        <v>27</v>
      </c>
      <c r="G1455" s="32">
        <v>46126</v>
      </c>
      <c r="H1455" s="9" t="s">
        <v>856</v>
      </c>
      <c r="I1455" s="4" t="s">
        <v>459</v>
      </c>
      <c r="J1455" s="68" t="b">
        <v>0</v>
      </c>
      <c r="N1455" s="67" t="b">
        <v>1</v>
      </c>
      <c r="Q1455" s="67" t="b">
        <v>1</v>
      </c>
      <c r="S1455" s="8"/>
    </row>
    <row r="1456" spans="1:24" ht="12.5">
      <c r="A1456" s="4" t="s">
        <v>5</v>
      </c>
      <c r="B1456" s="4" t="s">
        <v>119</v>
      </c>
      <c r="C1456" s="4" t="s">
        <v>3112</v>
      </c>
      <c r="D1456" s="4" t="s">
        <v>3113</v>
      </c>
      <c r="E1456" s="4">
        <v>50247703650</v>
      </c>
      <c r="F1456" s="4" t="s">
        <v>3114</v>
      </c>
      <c r="G1456" s="32">
        <v>46126</v>
      </c>
      <c r="H1456" s="9" t="s">
        <v>856</v>
      </c>
      <c r="I1456" s="4" t="s">
        <v>459</v>
      </c>
      <c r="J1456" s="68" t="b">
        <v>0</v>
      </c>
      <c r="N1456" s="67" t="b">
        <v>1</v>
      </c>
      <c r="Q1456" s="67" t="b">
        <v>1</v>
      </c>
      <c r="S1456" s="8"/>
    </row>
    <row r="1457" spans="1:19" ht="12.5">
      <c r="A1457" s="4" t="s">
        <v>5</v>
      </c>
      <c r="B1457" s="4" t="s">
        <v>119</v>
      </c>
      <c r="C1457" s="4" t="s">
        <v>3115</v>
      </c>
      <c r="D1457" s="4" t="s">
        <v>3116</v>
      </c>
      <c r="E1457" s="4">
        <v>573203517242</v>
      </c>
      <c r="F1457" s="4" t="s">
        <v>3117</v>
      </c>
      <c r="G1457" s="32">
        <v>46126</v>
      </c>
      <c r="H1457" s="9" t="s">
        <v>856</v>
      </c>
      <c r="I1457" s="4" t="s">
        <v>1097</v>
      </c>
      <c r="J1457" s="68" t="b">
        <v>0</v>
      </c>
      <c r="N1457" s="67" t="b">
        <v>1</v>
      </c>
      <c r="Q1457" s="67" t="b">
        <v>1</v>
      </c>
      <c r="S1457" s="8"/>
    </row>
    <row r="1458" spans="1:19" ht="12.5">
      <c r="A1458" s="4" t="s">
        <v>5</v>
      </c>
      <c r="B1458" s="4" t="s">
        <v>119</v>
      </c>
      <c r="C1458" s="4" t="s">
        <v>3118</v>
      </c>
      <c r="D1458" s="4" t="s">
        <v>3119</v>
      </c>
      <c r="E1458" s="4">
        <v>56992193030</v>
      </c>
      <c r="F1458" s="4" t="s">
        <v>3120</v>
      </c>
      <c r="G1458" s="32">
        <v>46126</v>
      </c>
      <c r="H1458" s="9" t="s">
        <v>856</v>
      </c>
      <c r="I1458" s="4" t="s">
        <v>459</v>
      </c>
      <c r="J1458" s="68" t="b">
        <v>0</v>
      </c>
      <c r="K1458" s="67" t="b">
        <v>1</v>
      </c>
      <c r="N1458" s="67" t="b">
        <v>1</v>
      </c>
      <c r="Q1458" s="67" t="b">
        <v>1</v>
      </c>
      <c r="S1458" s="8"/>
    </row>
    <row r="1459" spans="1:19" ht="12.5">
      <c r="A1459" s="4" t="s">
        <v>5</v>
      </c>
      <c r="B1459" s="4" t="s">
        <v>119</v>
      </c>
      <c r="C1459" s="4" t="s">
        <v>3121</v>
      </c>
      <c r="D1459" s="4" t="s">
        <v>3122</v>
      </c>
      <c r="E1459" s="4">
        <v>573160557126</v>
      </c>
      <c r="F1459" s="4" t="s">
        <v>3123</v>
      </c>
      <c r="G1459" s="32">
        <v>46126</v>
      </c>
      <c r="H1459" s="9" t="s">
        <v>856</v>
      </c>
      <c r="I1459" s="4" t="s">
        <v>459</v>
      </c>
      <c r="J1459" s="68" t="b">
        <v>0</v>
      </c>
      <c r="K1459" s="67" t="b">
        <v>1</v>
      </c>
      <c r="N1459" s="67" t="b">
        <v>1</v>
      </c>
      <c r="Q1459" s="67" t="b">
        <v>1</v>
      </c>
      <c r="S1459" s="8"/>
    </row>
    <row r="1460" spans="1:19" ht="12.5">
      <c r="A1460" s="4" t="s">
        <v>5</v>
      </c>
      <c r="B1460" s="4" t="s">
        <v>119</v>
      </c>
      <c r="C1460" s="4" t="s">
        <v>3124</v>
      </c>
      <c r="D1460" s="4" t="s">
        <v>3125</v>
      </c>
      <c r="E1460" s="4">
        <v>50587168705</v>
      </c>
      <c r="F1460" s="4" t="s">
        <v>1014</v>
      </c>
      <c r="G1460" s="32">
        <v>46126</v>
      </c>
      <c r="H1460" s="9" t="s">
        <v>856</v>
      </c>
      <c r="I1460" s="4" t="s">
        <v>459</v>
      </c>
      <c r="J1460" s="68" t="b">
        <v>0</v>
      </c>
      <c r="K1460" s="67" t="b">
        <v>1</v>
      </c>
      <c r="N1460" s="67" t="b">
        <v>1</v>
      </c>
      <c r="Q1460" s="67" t="b">
        <v>1</v>
      </c>
      <c r="S1460" s="8"/>
    </row>
    <row r="1461" spans="1:19" ht="12.5">
      <c r="A1461" s="4" t="s">
        <v>5</v>
      </c>
      <c r="B1461" s="4" t="s">
        <v>119</v>
      </c>
      <c r="C1461" s="4" t="s">
        <v>3126</v>
      </c>
      <c r="D1461" s="4" t="s">
        <v>3127</v>
      </c>
      <c r="E1461" s="4">
        <v>3.14763E+16</v>
      </c>
      <c r="F1461" s="4" t="s">
        <v>584</v>
      </c>
      <c r="G1461" s="32">
        <v>46127</v>
      </c>
      <c r="H1461" s="9" t="s">
        <v>856</v>
      </c>
      <c r="I1461" s="4" t="s">
        <v>459</v>
      </c>
      <c r="J1461" s="68" t="b">
        <v>0</v>
      </c>
      <c r="K1461" s="67"/>
      <c r="N1461" s="67" t="b">
        <v>1</v>
      </c>
      <c r="S1461" s="8"/>
    </row>
    <row r="1462" spans="1:19" ht="12.5">
      <c r="A1462" s="4" t="s">
        <v>5</v>
      </c>
      <c r="B1462" s="4" t="s">
        <v>119</v>
      </c>
      <c r="C1462" s="4" t="s">
        <v>3126</v>
      </c>
      <c r="D1462" s="4" t="s">
        <v>3127</v>
      </c>
      <c r="E1462" s="4">
        <v>3.14763E+16</v>
      </c>
      <c r="F1462" s="4" t="s">
        <v>584</v>
      </c>
      <c r="G1462" s="32">
        <v>46127</v>
      </c>
      <c r="H1462" s="9" t="s">
        <v>856</v>
      </c>
      <c r="I1462" s="4" t="s">
        <v>459</v>
      </c>
      <c r="J1462" s="68" t="b">
        <v>0</v>
      </c>
      <c r="K1462" s="67"/>
      <c r="N1462" s="67" t="b">
        <v>1</v>
      </c>
      <c r="S1462" s="8"/>
    </row>
    <row r="1463" spans="1:19" ht="12.5">
      <c r="A1463" s="4" t="s">
        <v>5</v>
      </c>
      <c r="B1463" s="4" t="s">
        <v>119</v>
      </c>
      <c r="C1463" s="4" t="s">
        <v>3126</v>
      </c>
      <c r="D1463" s="4" t="s">
        <v>3127</v>
      </c>
      <c r="E1463" s="4">
        <v>3.14763E+16</v>
      </c>
      <c r="F1463" s="4" t="s">
        <v>584</v>
      </c>
      <c r="G1463" s="32">
        <v>46127</v>
      </c>
      <c r="H1463" s="9" t="s">
        <v>856</v>
      </c>
      <c r="I1463" s="4" t="s">
        <v>459</v>
      </c>
      <c r="J1463" s="68" t="b">
        <v>0</v>
      </c>
      <c r="K1463" s="67"/>
      <c r="N1463" s="67" t="b">
        <v>1</v>
      </c>
      <c r="S1463" s="8"/>
    </row>
    <row r="1464" spans="1:19" ht="12.5">
      <c r="A1464" s="4" t="s">
        <v>5</v>
      </c>
      <c r="B1464" s="4" t="s">
        <v>119</v>
      </c>
      <c r="C1464" s="4" t="s">
        <v>3128</v>
      </c>
      <c r="D1464" s="4" t="s">
        <v>3129</v>
      </c>
      <c r="E1464" s="4">
        <v>56988755787</v>
      </c>
      <c r="F1464" s="4" t="s">
        <v>70</v>
      </c>
      <c r="G1464" s="32">
        <v>46127</v>
      </c>
      <c r="H1464" s="9" t="s">
        <v>856</v>
      </c>
      <c r="I1464" s="4" t="s">
        <v>941</v>
      </c>
      <c r="J1464" s="68" t="b">
        <v>1</v>
      </c>
      <c r="K1464" s="67" t="b">
        <v>1</v>
      </c>
      <c r="N1464" s="67" t="b">
        <v>1</v>
      </c>
      <c r="Q1464" s="67" t="b">
        <v>1</v>
      </c>
      <c r="S1464" s="8"/>
    </row>
    <row r="1465" spans="1:19" ht="12.5">
      <c r="A1465" s="4" t="s">
        <v>5</v>
      </c>
      <c r="B1465" s="4" t="s">
        <v>119</v>
      </c>
      <c r="C1465" s="4" t="s">
        <v>3130</v>
      </c>
      <c r="D1465" s="4" t="s">
        <v>3131</v>
      </c>
      <c r="E1465" s="4">
        <v>528112302928</v>
      </c>
      <c r="F1465" s="4" t="s">
        <v>1965</v>
      </c>
      <c r="G1465" s="32">
        <v>46127</v>
      </c>
      <c r="H1465" s="9" t="s">
        <v>856</v>
      </c>
      <c r="I1465" s="4" t="s">
        <v>459</v>
      </c>
      <c r="J1465" s="68" t="b">
        <v>0</v>
      </c>
      <c r="K1465" s="67" t="b">
        <v>1</v>
      </c>
      <c r="N1465" s="67" t="b">
        <v>1</v>
      </c>
      <c r="Q1465" s="67" t="b">
        <v>1</v>
      </c>
      <c r="S1465" s="8"/>
    </row>
    <row r="1466" spans="1:19" ht="12.5">
      <c r="A1466" s="4" t="s">
        <v>5</v>
      </c>
      <c r="B1466" s="4" t="s">
        <v>119</v>
      </c>
      <c r="C1466" s="4" t="s">
        <v>3132</v>
      </c>
      <c r="D1466" s="4" t="s">
        <v>3133</v>
      </c>
      <c r="E1466" s="4">
        <v>34619669307</v>
      </c>
      <c r="F1466" s="4" t="s">
        <v>388</v>
      </c>
      <c r="G1466" s="32">
        <v>46127</v>
      </c>
      <c r="H1466" s="9" t="s">
        <v>856</v>
      </c>
      <c r="I1466" s="4" t="s">
        <v>941</v>
      </c>
      <c r="J1466" s="68" t="b">
        <v>1</v>
      </c>
      <c r="K1466" s="67" t="b">
        <v>1</v>
      </c>
      <c r="N1466" s="67" t="b">
        <v>1</v>
      </c>
      <c r="Q1466" s="67" t="b">
        <v>1</v>
      </c>
      <c r="S1466" s="8"/>
    </row>
    <row r="1467" spans="1:19" ht="12.5">
      <c r="A1467" s="4" t="s">
        <v>5</v>
      </c>
      <c r="B1467" s="4" t="s">
        <v>119</v>
      </c>
      <c r="C1467" s="4" t="s">
        <v>3134</v>
      </c>
      <c r="D1467" s="4" t="s">
        <v>3135</v>
      </c>
      <c r="E1467" s="4">
        <v>525561302869</v>
      </c>
      <c r="F1467" s="4" t="s">
        <v>3136</v>
      </c>
      <c r="G1467" s="32">
        <v>46127</v>
      </c>
      <c r="H1467" s="9" t="s">
        <v>856</v>
      </c>
      <c r="I1467" s="4" t="s">
        <v>459</v>
      </c>
      <c r="J1467" s="68" t="b">
        <v>0</v>
      </c>
      <c r="K1467" s="67" t="b">
        <v>1</v>
      </c>
      <c r="N1467" s="67" t="b">
        <v>1</v>
      </c>
      <c r="Q1467" s="67" t="b">
        <v>1</v>
      </c>
      <c r="S1467" s="8"/>
    </row>
    <row r="1468" spans="1:19" ht="12.5">
      <c r="A1468" s="4" t="s">
        <v>5</v>
      </c>
      <c r="B1468" s="4" t="s">
        <v>119</v>
      </c>
      <c r="C1468" s="4" t="s">
        <v>3137</v>
      </c>
      <c r="D1468" s="4" t="s">
        <v>3138</v>
      </c>
      <c r="E1468" s="4">
        <v>56987712201</v>
      </c>
      <c r="F1468" s="4" t="s">
        <v>3139</v>
      </c>
      <c r="G1468" s="32">
        <v>46127</v>
      </c>
      <c r="H1468" s="9" t="s">
        <v>856</v>
      </c>
      <c r="I1468" s="4" t="s">
        <v>459</v>
      </c>
      <c r="J1468" s="68" t="b">
        <v>0</v>
      </c>
      <c r="K1468" s="67" t="b">
        <v>1</v>
      </c>
      <c r="N1468" s="67" t="b">
        <v>1</v>
      </c>
      <c r="Q1468" s="67" t="b">
        <v>1</v>
      </c>
      <c r="S1468" s="8"/>
    </row>
    <row r="1469" spans="1:19" ht="12.5">
      <c r="A1469" s="4" t="s">
        <v>5</v>
      </c>
      <c r="B1469" s="4" t="s">
        <v>119</v>
      </c>
      <c r="C1469" s="4" t="s">
        <v>3126</v>
      </c>
      <c r="D1469" s="4" t="s">
        <v>3127</v>
      </c>
      <c r="E1469" s="4">
        <v>3.14763E+16</v>
      </c>
      <c r="F1469" s="4" t="s">
        <v>584</v>
      </c>
      <c r="G1469" s="32">
        <v>46127</v>
      </c>
      <c r="H1469" s="9" t="s">
        <v>856</v>
      </c>
      <c r="I1469" s="4" t="s">
        <v>459</v>
      </c>
      <c r="J1469" s="68" t="b">
        <v>0</v>
      </c>
      <c r="K1469" s="67"/>
      <c r="L1469" s="68" t="b">
        <v>1</v>
      </c>
      <c r="N1469" s="67" t="b">
        <v>0</v>
      </c>
      <c r="S1469" s="8"/>
    </row>
    <row r="1470" spans="1:19" ht="12.5">
      <c r="A1470" s="4" t="s">
        <v>381</v>
      </c>
      <c r="B1470" s="4" t="s">
        <v>119</v>
      </c>
      <c r="C1470" s="4" t="s">
        <v>2936</v>
      </c>
      <c r="E1470" s="4" t="s">
        <v>3140</v>
      </c>
      <c r="F1470" s="4" t="s">
        <v>3141</v>
      </c>
      <c r="G1470" s="32">
        <v>46127</v>
      </c>
      <c r="H1470" s="9" t="s">
        <v>956</v>
      </c>
      <c r="I1470" s="4" t="s">
        <v>459</v>
      </c>
      <c r="J1470" s="4"/>
      <c r="K1470" s="67" t="b">
        <v>1</v>
      </c>
      <c r="L1470" s="4"/>
      <c r="M1470" s="4"/>
      <c r="N1470" s="67" t="b">
        <v>1</v>
      </c>
      <c r="O1470" s="4"/>
      <c r="P1470" s="4"/>
      <c r="Q1470" s="4"/>
      <c r="R1470" s="4"/>
      <c r="S1470" s="8"/>
    </row>
    <row r="1471" spans="1:19" ht="12.5">
      <c r="A1471" s="4" t="s">
        <v>240</v>
      </c>
      <c r="B1471" s="4" t="s">
        <v>119</v>
      </c>
      <c r="C1471" s="4" t="s">
        <v>329</v>
      </c>
      <c r="E1471" s="4" t="s">
        <v>3142</v>
      </c>
      <c r="F1471" s="4" t="s">
        <v>3143</v>
      </c>
      <c r="G1471" s="32">
        <v>46127</v>
      </c>
      <c r="H1471" s="9" t="s">
        <v>956</v>
      </c>
      <c r="I1471" s="4" t="s">
        <v>459</v>
      </c>
      <c r="J1471" s="68" t="b">
        <v>1</v>
      </c>
      <c r="K1471" s="67" t="b">
        <v>1</v>
      </c>
      <c r="L1471" s="4"/>
      <c r="M1471" s="4"/>
      <c r="N1471" s="67" t="b">
        <v>1</v>
      </c>
      <c r="O1471" s="4"/>
      <c r="P1471" s="4"/>
      <c r="Q1471" s="67" t="b">
        <v>1</v>
      </c>
      <c r="R1471" s="4"/>
      <c r="S1471" s="8"/>
    </row>
    <row r="1472" spans="1:19" ht="12.5">
      <c r="B1472" s="4" t="s">
        <v>119</v>
      </c>
      <c r="C1472" s="4" t="s">
        <v>3144</v>
      </c>
      <c r="E1472" s="4" t="s">
        <v>3145</v>
      </c>
      <c r="G1472" s="32">
        <v>46127</v>
      </c>
      <c r="H1472" s="9" t="s">
        <v>956</v>
      </c>
      <c r="I1472" s="4" t="s">
        <v>459</v>
      </c>
      <c r="J1472" s="4"/>
      <c r="K1472" s="67" t="b">
        <v>1</v>
      </c>
      <c r="L1472" s="4"/>
      <c r="M1472" s="4"/>
      <c r="N1472" s="67" t="b">
        <v>1</v>
      </c>
      <c r="O1472" s="4"/>
      <c r="P1472" s="4"/>
      <c r="Q1472" s="67" t="b">
        <v>1</v>
      </c>
      <c r="R1472" s="4"/>
      <c r="S1472" s="8"/>
    </row>
    <row r="1473" spans="1:19" ht="12.5">
      <c r="A1473" s="4" t="s">
        <v>5</v>
      </c>
      <c r="B1473" s="4" t="s">
        <v>119</v>
      </c>
      <c r="C1473" s="4" t="s">
        <v>3146</v>
      </c>
      <c r="E1473" s="4" t="s">
        <v>3147</v>
      </c>
      <c r="F1473" s="4" t="s">
        <v>3148</v>
      </c>
      <c r="G1473" s="32">
        <v>46127</v>
      </c>
      <c r="H1473" s="9" t="s">
        <v>956</v>
      </c>
      <c r="I1473" s="4" t="s">
        <v>459</v>
      </c>
      <c r="J1473" s="4"/>
      <c r="K1473" s="67" t="b">
        <v>1</v>
      </c>
      <c r="L1473" s="4"/>
      <c r="M1473" s="4"/>
      <c r="N1473" s="67" t="b">
        <v>1</v>
      </c>
      <c r="O1473" s="4"/>
      <c r="P1473" s="4"/>
      <c r="Q1473" s="67" t="b">
        <v>1</v>
      </c>
      <c r="R1473" s="4"/>
      <c r="S1473" s="8"/>
    </row>
    <row r="1474" spans="1:19" ht="12.5">
      <c r="A1474" s="4" t="s">
        <v>381</v>
      </c>
      <c r="B1474" s="4" t="s">
        <v>119</v>
      </c>
      <c r="C1474" s="4" t="s">
        <v>3149</v>
      </c>
      <c r="E1474" s="4" t="s">
        <v>3150</v>
      </c>
      <c r="F1474" s="4" t="s">
        <v>2411</v>
      </c>
      <c r="G1474" s="32">
        <v>46127</v>
      </c>
      <c r="H1474" s="9" t="s">
        <v>956</v>
      </c>
      <c r="I1474" s="4" t="s">
        <v>459</v>
      </c>
      <c r="J1474" s="4"/>
      <c r="K1474" s="67" t="b">
        <v>1</v>
      </c>
      <c r="L1474" s="4"/>
      <c r="M1474" s="4"/>
      <c r="N1474" s="67" t="b">
        <v>1</v>
      </c>
      <c r="O1474" s="4"/>
      <c r="P1474" s="4"/>
      <c r="Q1474" s="67" t="b">
        <v>1</v>
      </c>
      <c r="R1474" s="4"/>
      <c r="S1474" s="8"/>
    </row>
    <row r="1475" spans="1:19" ht="12.5">
      <c r="A1475" s="4" t="s">
        <v>5</v>
      </c>
      <c r="B1475" s="4" t="s">
        <v>119</v>
      </c>
      <c r="C1475" s="4" t="s">
        <v>3151</v>
      </c>
      <c r="E1475" s="4" t="s">
        <v>3152</v>
      </c>
      <c r="F1475" s="4" t="s">
        <v>309</v>
      </c>
      <c r="G1475" s="32">
        <v>46127</v>
      </c>
      <c r="H1475" s="9" t="s">
        <v>956</v>
      </c>
      <c r="I1475" s="4" t="s">
        <v>459</v>
      </c>
      <c r="J1475" s="68" t="b">
        <v>1</v>
      </c>
      <c r="K1475" s="67" t="b">
        <v>1</v>
      </c>
      <c r="L1475" s="4"/>
      <c r="M1475" s="4"/>
      <c r="N1475" s="67" t="b">
        <v>1</v>
      </c>
      <c r="O1475" s="4"/>
      <c r="P1475" s="4"/>
      <c r="Q1475" s="67" t="b">
        <v>1</v>
      </c>
      <c r="R1475" s="4"/>
      <c r="S1475" s="8"/>
    </row>
    <row r="1476" spans="1:19" ht="12.5">
      <c r="A1476" s="4" t="s">
        <v>5</v>
      </c>
      <c r="B1476" s="4" t="s">
        <v>119</v>
      </c>
      <c r="C1476" s="4" t="s">
        <v>3153</v>
      </c>
      <c r="E1476" s="4" t="s">
        <v>3154</v>
      </c>
      <c r="F1476" s="4" t="s">
        <v>2948</v>
      </c>
      <c r="G1476" s="32">
        <v>46127</v>
      </c>
      <c r="H1476" s="9" t="s">
        <v>956</v>
      </c>
      <c r="I1476" s="4" t="s">
        <v>459</v>
      </c>
      <c r="J1476" s="4"/>
      <c r="K1476" s="67" t="b">
        <v>1</v>
      </c>
      <c r="L1476" s="4"/>
      <c r="M1476" s="4"/>
      <c r="N1476" s="67" t="b">
        <v>1</v>
      </c>
      <c r="O1476" s="4"/>
      <c r="P1476" s="4"/>
      <c r="Q1476" s="67" t="b">
        <v>1</v>
      </c>
      <c r="R1476" s="4"/>
      <c r="S1476" s="8"/>
    </row>
    <row r="1477" spans="1:19" ht="12.5">
      <c r="A1477" s="4" t="s">
        <v>5</v>
      </c>
      <c r="B1477" s="4" t="s">
        <v>119</v>
      </c>
      <c r="C1477" s="4" t="s">
        <v>3155</v>
      </c>
      <c r="E1477" s="4" t="s">
        <v>3156</v>
      </c>
      <c r="F1477" s="4" t="s">
        <v>3157</v>
      </c>
      <c r="G1477" s="32">
        <v>46127</v>
      </c>
      <c r="H1477" s="9" t="s">
        <v>956</v>
      </c>
      <c r="I1477" s="4" t="s">
        <v>459</v>
      </c>
      <c r="J1477" s="4"/>
      <c r="K1477" s="67" t="b">
        <v>1</v>
      </c>
      <c r="L1477" s="4"/>
      <c r="M1477" s="4"/>
      <c r="N1477" s="67" t="b">
        <v>1</v>
      </c>
      <c r="O1477" s="4"/>
      <c r="P1477" s="4"/>
      <c r="Q1477" s="67" t="b">
        <v>1</v>
      </c>
      <c r="R1477" s="4"/>
      <c r="S1477" s="8"/>
    </row>
    <row r="1478" spans="1:19" ht="12.5">
      <c r="A1478" s="4" t="s">
        <v>5</v>
      </c>
      <c r="B1478" s="4" t="s">
        <v>119</v>
      </c>
      <c r="C1478" s="4" t="s">
        <v>3158</v>
      </c>
      <c r="E1478" s="4" t="s">
        <v>3159</v>
      </c>
      <c r="F1478" s="4" t="s">
        <v>8</v>
      </c>
      <c r="G1478" s="32">
        <v>46127</v>
      </c>
      <c r="H1478" s="9" t="s">
        <v>956</v>
      </c>
      <c r="I1478" s="4" t="s">
        <v>459</v>
      </c>
      <c r="J1478" s="4"/>
      <c r="K1478" s="67" t="b">
        <v>1</v>
      </c>
      <c r="L1478" s="4"/>
      <c r="M1478" s="4"/>
      <c r="N1478" s="67" t="b">
        <v>1</v>
      </c>
      <c r="O1478" s="4"/>
      <c r="P1478" s="4"/>
      <c r="Q1478" s="67" t="b">
        <v>1</v>
      </c>
      <c r="R1478" s="4"/>
      <c r="S1478" s="8"/>
    </row>
    <row r="1479" spans="1:19" ht="12.5">
      <c r="A1479" s="4" t="s">
        <v>5</v>
      </c>
      <c r="B1479" s="4" t="s">
        <v>119</v>
      </c>
      <c r="C1479" s="4" t="s">
        <v>3160</v>
      </c>
      <c r="E1479" s="4" t="s">
        <v>3161</v>
      </c>
      <c r="F1479" s="4" t="s">
        <v>3162</v>
      </c>
      <c r="G1479" s="32">
        <v>46127</v>
      </c>
      <c r="H1479" s="9" t="s">
        <v>956</v>
      </c>
      <c r="I1479" s="4" t="s">
        <v>459</v>
      </c>
      <c r="J1479" s="4"/>
      <c r="K1479" s="67" t="b">
        <v>1</v>
      </c>
      <c r="L1479" s="4"/>
      <c r="M1479" s="4"/>
      <c r="N1479" s="67" t="b">
        <v>1</v>
      </c>
      <c r="O1479" s="4"/>
      <c r="P1479" s="4"/>
      <c r="Q1479" s="67" t="b">
        <v>1</v>
      </c>
      <c r="R1479" s="4"/>
      <c r="S1479" s="8"/>
    </row>
    <row r="1480" spans="1:19" ht="12.5">
      <c r="A1480" s="4" t="s">
        <v>5</v>
      </c>
      <c r="B1480" s="4" t="s">
        <v>119</v>
      </c>
      <c r="C1480" s="4" t="s">
        <v>3163</v>
      </c>
      <c r="E1480" s="4" t="s">
        <v>3164</v>
      </c>
      <c r="F1480" s="4" t="s">
        <v>3165</v>
      </c>
      <c r="G1480" s="32">
        <v>46127</v>
      </c>
      <c r="H1480" s="9" t="s">
        <v>956</v>
      </c>
      <c r="I1480" s="4" t="s">
        <v>459</v>
      </c>
      <c r="J1480" s="4"/>
      <c r="K1480" s="67" t="b">
        <v>1</v>
      </c>
      <c r="L1480" s="4"/>
      <c r="M1480" s="4"/>
      <c r="N1480" s="67" t="b">
        <v>1</v>
      </c>
      <c r="O1480" s="4"/>
      <c r="P1480" s="4"/>
      <c r="Q1480" s="67" t="b">
        <v>1</v>
      </c>
      <c r="R1480" s="4"/>
      <c r="S1480" s="8"/>
    </row>
    <row r="1481" spans="1:19" ht="12.5">
      <c r="A1481" s="4" t="s">
        <v>5</v>
      </c>
      <c r="B1481" s="4" t="s">
        <v>119</v>
      </c>
      <c r="C1481" s="4" t="s">
        <v>3166</v>
      </c>
      <c r="E1481" s="4" t="s">
        <v>3167</v>
      </c>
      <c r="F1481" s="4" t="s">
        <v>2928</v>
      </c>
      <c r="G1481" s="32">
        <v>46127</v>
      </c>
      <c r="H1481" s="9" t="s">
        <v>956</v>
      </c>
      <c r="I1481" s="4" t="s">
        <v>459</v>
      </c>
      <c r="J1481" s="4"/>
      <c r="K1481" s="67" t="b">
        <v>1</v>
      </c>
      <c r="L1481" s="4"/>
      <c r="M1481" s="4"/>
      <c r="N1481" s="67" t="b">
        <v>1</v>
      </c>
      <c r="O1481" s="4"/>
      <c r="P1481" s="4"/>
      <c r="Q1481" s="67" t="b">
        <v>1</v>
      </c>
      <c r="R1481" s="4"/>
      <c r="S1481" s="8"/>
    </row>
    <row r="1482" spans="1:19" ht="12.5">
      <c r="A1482" s="4" t="s">
        <v>5</v>
      </c>
      <c r="B1482" s="4" t="s">
        <v>119</v>
      </c>
      <c r="C1482" s="4" t="s">
        <v>3168</v>
      </c>
      <c r="E1482" s="4" t="s">
        <v>3169</v>
      </c>
      <c r="F1482" s="4" t="s">
        <v>3170</v>
      </c>
      <c r="G1482" s="32">
        <v>46127</v>
      </c>
      <c r="H1482" s="9" t="s">
        <v>956</v>
      </c>
      <c r="I1482" s="4" t="s">
        <v>459</v>
      </c>
      <c r="J1482" s="4"/>
      <c r="K1482" s="67" t="b">
        <v>1</v>
      </c>
      <c r="L1482" s="4"/>
      <c r="M1482" s="4"/>
      <c r="N1482" s="67" t="b">
        <v>1</v>
      </c>
      <c r="O1482" s="4"/>
      <c r="P1482" s="4"/>
      <c r="Q1482" s="67" t="b">
        <v>1</v>
      </c>
      <c r="R1482" s="4"/>
      <c r="S1482" s="8"/>
    </row>
    <row r="1483" spans="1:19" ht="12.5">
      <c r="A1483" s="4" t="s">
        <v>5</v>
      </c>
      <c r="B1483" s="4" t="s">
        <v>119</v>
      </c>
      <c r="C1483" s="4" t="s">
        <v>3171</v>
      </c>
      <c r="E1483" s="4" t="s">
        <v>3172</v>
      </c>
      <c r="F1483" s="4" t="s">
        <v>309</v>
      </c>
      <c r="G1483" s="32">
        <v>46127</v>
      </c>
      <c r="H1483" s="9" t="s">
        <v>956</v>
      </c>
      <c r="I1483" s="4" t="s">
        <v>459</v>
      </c>
      <c r="J1483" s="4"/>
      <c r="K1483" s="67" t="b">
        <v>1</v>
      </c>
      <c r="L1483" s="4"/>
      <c r="M1483" s="4"/>
      <c r="N1483" s="67" t="b">
        <v>1</v>
      </c>
      <c r="O1483" s="4"/>
      <c r="P1483" s="4"/>
      <c r="Q1483" s="67" t="b">
        <v>1</v>
      </c>
      <c r="R1483" s="4"/>
      <c r="S1483" s="8"/>
    </row>
    <row r="1484" spans="1:19" ht="12.5">
      <c r="A1484" s="4" t="s">
        <v>5</v>
      </c>
      <c r="B1484" s="4" t="s">
        <v>119</v>
      </c>
      <c r="C1484" s="4" t="s">
        <v>2936</v>
      </c>
      <c r="E1484" s="4" t="s">
        <v>3173</v>
      </c>
      <c r="F1484" s="4" t="s">
        <v>3165</v>
      </c>
      <c r="G1484" s="32">
        <v>46127</v>
      </c>
      <c r="H1484" s="9" t="s">
        <v>956</v>
      </c>
      <c r="I1484" s="4" t="s">
        <v>459</v>
      </c>
      <c r="J1484" s="4"/>
      <c r="K1484" s="67" t="b">
        <v>1</v>
      </c>
      <c r="L1484" s="4"/>
      <c r="M1484" s="4"/>
      <c r="N1484" s="67" t="b">
        <v>1</v>
      </c>
      <c r="O1484" s="4"/>
      <c r="P1484" s="4"/>
      <c r="Q1484" s="67" t="b">
        <v>1</v>
      </c>
      <c r="R1484" s="4"/>
      <c r="S1484" s="8"/>
    </row>
    <row r="1485" spans="1:19" ht="12.5">
      <c r="A1485" s="4" t="s">
        <v>5</v>
      </c>
      <c r="B1485" s="4" t="s">
        <v>119</v>
      </c>
      <c r="C1485" s="4" t="s">
        <v>3174</v>
      </c>
      <c r="E1485" s="4" t="s">
        <v>3175</v>
      </c>
      <c r="F1485" s="4" t="s">
        <v>2828</v>
      </c>
      <c r="G1485" s="32">
        <v>46127</v>
      </c>
      <c r="H1485" s="9" t="s">
        <v>956</v>
      </c>
      <c r="I1485" s="4" t="s">
        <v>459</v>
      </c>
      <c r="J1485" s="4"/>
      <c r="K1485" s="67" t="b">
        <v>1</v>
      </c>
      <c r="L1485" s="4"/>
      <c r="M1485" s="4"/>
      <c r="N1485" s="67" t="b">
        <v>1</v>
      </c>
      <c r="O1485" s="4"/>
      <c r="P1485" s="4"/>
      <c r="Q1485" s="67" t="b">
        <v>1</v>
      </c>
      <c r="R1485" s="4"/>
      <c r="S1485" s="8"/>
    </row>
    <row r="1486" spans="1:19" ht="12.5">
      <c r="A1486" s="4" t="s">
        <v>5</v>
      </c>
      <c r="B1486" s="4" t="s">
        <v>119</v>
      </c>
      <c r="C1486" s="4" t="s">
        <v>2936</v>
      </c>
      <c r="F1486" s="4" t="s">
        <v>2948</v>
      </c>
      <c r="G1486" s="32">
        <v>46127</v>
      </c>
      <c r="H1486" s="9" t="s">
        <v>956</v>
      </c>
      <c r="I1486" s="4" t="s">
        <v>459</v>
      </c>
      <c r="J1486" s="4"/>
      <c r="K1486" s="67" t="b">
        <v>1</v>
      </c>
      <c r="L1486" s="4"/>
      <c r="M1486" s="4"/>
      <c r="N1486" s="67" t="b">
        <v>1</v>
      </c>
      <c r="O1486" s="4"/>
      <c r="P1486" s="4"/>
      <c r="Q1486" s="67" t="b">
        <v>0</v>
      </c>
      <c r="R1486" s="4"/>
      <c r="S1486" s="8"/>
    </row>
    <row r="1487" spans="1:19" ht="12.5">
      <c r="A1487" s="4" t="s">
        <v>5</v>
      </c>
      <c r="B1487" s="4" t="s">
        <v>119</v>
      </c>
      <c r="C1487" s="4" t="s">
        <v>3176</v>
      </c>
      <c r="D1487" s="4" t="s">
        <v>3177</v>
      </c>
      <c r="E1487" s="4">
        <v>34601127720</v>
      </c>
      <c r="F1487" s="4" t="s">
        <v>3178</v>
      </c>
      <c r="G1487" s="32">
        <v>46127</v>
      </c>
      <c r="H1487" s="9" t="s">
        <v>956</v>
      </c>
      <c r="I1487" s="4" t="s">
        <v>459</v>
      </c>
      <c r="J1487" s="68" t="b">
        <v>1</v>
      </c>
      <c r="K1487" s="67" t="b">
        <v>1</v>
      </c>
      <c r="N1487" s="67" t="b">
        <v>1</v>
      </c>
      <c r="Q1487" s="67" t="b">
        <v>1</v>
      </c>
      <c r="S1487" s="8"/>
    </row>
    <row r="1488" spans="1:19" ht="12.5">
      <c r="A1488" s="4" t="s">
        <v>5</v>
      </c>
      <c r="B1488" s="4" t="s">
        <v>119</v>
      </c>
      <c r="C1488" s="4" t="s">
        <v>2936</v>
      </c>
      <c r="E1488" s="4" t="s">
        <v>3179</v>
      </c>
      <c r="F1488" s="4" t="s">
        <v>319</v>
      </c>
      <c r="G1488" s="32">
        <v>46127</v>
      </c>
      <c r="H1488" s="9" t="s">
        <v>956</v>
      </c>
      <c r="I1488" s="4" t="s">
        <v>459</v>
      </c>
      <c r="J1488" s="4"/>
      <c r="K1488" s="67" t="b">
        <v>1</v>
      </c>
      <c r="L1488" s="4"/>
      <c r="M1488" s="4"/>
      <c r="N1488" s="67" t="b">
        <v>1</v>
      </c>
      <c r="O1488" s="4"/>
      <c r="P1488" s="4"/>
      <c r="Q1488" s="67" t="b">
        <v>1</v>
      </c>
      <c r="R1488" s="4"/>
      <c r="S1488" s="8"/>
    </row>
    <row r="1489" spans="1:19" ht="12.5">
      <c r="A1489" s="4" t="s">
        <v>5</v>
      </c>
      <c r="B1489" s="4" t="s">
        <v>119</v>
      </c>
      <c r="C1489" s="4" t="s">
        <v>2936</v>
      </c>
      <c r="E1489" s="4" t="s">
        <v>3180</v>
      </c>
      <c r="F1489" s="4" t="s">
        <v>528</v>
      </c>
      <c r="G1489" s="32">
        <v>46127</v>
      </c>
      <c r="H1489" s="9" t="s">
        <v>956</v>
      </c>
      <c r="I1489" s="4" t="s">
        <v>459</v>
      </c>
      <c r="J1489" s="4"/>
      <c r="K1489" s="67" t="b">
        <v>1</v>
      </c>
      <c r="L1489" s="4"/>
      <c r="M1489" s="4"/>
      <c r="N1489" s="67" t="b">
        <v>1</v>
      </c>
      <c r="O1489" s="4"/>
      <c r="P1489" s="4"/>
      <c r="Q1489" s="67" t="b">
        <v>1</v>
      </c>
      <c r="R1489" s="4"/>
      <c r="S1489" s="8"/>
    </row>
    <row r="1490" spans="1:19" ht="12.5">
      <c r="A1490" s="4" t="s">
        <v>5</v>
      </c>
      <c r="B1490" s="4" t="s">
        <v>119</v>
      </c>
      <c r="C1490" s="4" t="s">
        <v>2936</v>
      </c>
      <c r="E1490" s="4" t="s">
        <v>3181</v>
      </c>
      <c r="F1490" s="4" t="s">
        <v>401</v>
      </c>
      <c r="G1490" s="32">
        <v>46127</v>
      </c>
      <c r="H1490" s="9" t="s">
        <v>956</v>
      </c>
      <c r="I1490" s="4" t="s">
        <v>459</v>
      </c>
      <c r="J1490" s="4"/>
      <c r="K1490" s="67" t="b">
        <v>1</v>
      </c>
      <c r="L1490" s="4"/>
      <c r="M1490" s="4"/>
      <c r="N1490" s="67" t="b">
        <v>1</v>
      </c>
      <c r="O1490" s="4"/>
      <c r="P1490" s="4"/>
      <c r="Q1490" s="67" t="b">
        <v>1</v>
      </c>
      <c r="R1490" s="4"/>
      <c r="S1490" s="8"/>
    </row>
    <row r="1491" spans="1:19" ht="12.5">
      <c r="A1491" s="4" t="s">
        <v>5</v>
      </c>
      <c r="B1491" s="4" t="s">
        <v>119</v>
      </c>
      <c r="C1491" s="4" t="s">
        <v>2936</v>
      </c>
      <c r="E1491" s="4" t="s">
        <v>3182</v>
      </c>
      <c r="F1491" s="4" t="s">
        <v>3183</v>
      </c>
      <c r="G1491" s="32">
        <v>46127</v>
      </c>
      <c r="H1491" s="9" t="s">
        <v>956</v>
      </c>
      <c r="I1491" s="4" t="s">
        <v>459</v>
      </c>
      <c r="J1491" s="4"/>
      <c r="K1491" s="67" t="b">
        <v>1</v>
      </c>
      <c r="L1491" s="4"/>
      <c r="M1491" s="4"/>
      <c r="N1491" s="67" t="b">
        <v>1</v>
      </c>
      <c r="O1491" s="4"/>
      <c r="P1491" s="4"/>
      <c r="Q1491" s="67" t="b">
        <v>1</v>
      </c>
      <c r="R1491" s="4"/>
      <c r="S1491" s="8"/>
    </row>
    <row r="1492" spans="1:19" ht="12.5">
      <c r="A1492" s="4" t="s">
        <v>5</v>
      </c>
      <c r="B1492" s="4" t="s">
        <v>119</v>
      </c>
      <c r="C1492" s="4" t="s">
        <v>2936</v>
      </c>
      <c r="F1492" s="4" t="s">
        <v>2238</v>
      </c>
      <c r="G1492" s="32">
        <v>46127</v>
      </c>
      <c r="H1492" s="9" t="s">
        <v>956</v>
      </c>
      <c r="I1492" s="4" t="s">
        <v>459</v>
      </c>
      <c r="J1492" s="4"/>
      <c r="K1492" s="67" t="b">
        <v>1</v>
      </c>
      <c r="L1492" s="4"/>
      <c r="M1492" s="4"/>
      <c r="N1492" s="67" t="b">
        <v>1</v>
      </c>
      <c r="O1492" s="4"/>
      <c r="P1492" s="4"/>
      <c r="Q1492" s="67" t="b">
        <v>1</v>
      </c>
      <c r="R1492" s="4"/>
      <c r="S1492" s="8"/>
    </row>
    <row r="1493" spans="1:19" ht="12.5">
      <c r="A1493" s="4" t="s">
        <v>5</v>
      </c>
      <c r="B1493" s="4" t="s">
        <v>119</v>
      </c>
      <c r="C1493" s="4" t="s">
        <v>3184</v>
      </c>
      <c r="D1493" s="4" t="s">
        <v>3185</v>
      </c>
      <c r="E1493" s="4">
        <v>56990976337</v>
      </c>
      <c r="F1493" s="4" t="s">
        <v>3104</v>
      </c>
      <c r="G1493" s="32">
        <v>46127</v>
      </c>
      <c r="H1493" s="4" t="s">
        <v>856</v>
      </c>
      <c r="I1493" s="4" t="s">
        <v>459</v>
      </c>
      <c r="K1493" s="67" t="b">
        <v>1</v>
      </c>
      <c r="N1493" s="67" t="b">
        <v>1</v>
      </c>
      <c r="Q1493" s="67" t="b">
        <v>1</v>
      </c>
      <c r="S1493" s="8"/>
    </row>
    <row r="1494" spans="1:19" ht="12.5">
      <c r="A1494" s="4" t="s">
        <v>5</v>
      </c>
      <c r="B1494" s="4" t="s">
        <v>119</v>
      </c>
      <c r="C1494" s="4" t="s">
        <v>3186</v>
      </c>
      <c r="D1494" s="4" t="s">
        <v>3187</v>
      </c>
      <c r="E1494" s="4">
        <v>34607928603</v>
      </c>
      <c r="F1494" s="4" t="s">
        <v>584</v>
      </c>
      <c r="G1494" s="32">
        <v>46127</v>
      </c>
      <c r="H1494" s="4" t="s">
        <v>856</v>
      </c>
      <c r="I1494" s="4" t="s">
        <v>459</v>
      </c>
      <c r="J1494" s="68" t="b">
        <v>1</v>
      </c>
      <c r="K1494" s="67" t="b">
        <v>1</v>
      </c>
      <c r="N1494" s="67" t="b">
        <v>1</v>
      </c>
      <c r="Q1494" s="67" t="b">
        <v>1</v>
      </c>
      <c r="S1494" s="8"/>
    </row>
    <row r="1495" spans="1:19" ht="12.5">
      <c r="A1495" s="4" t="s">
        <v>5</v>
      </c>
      <c r="B1495" s="4" t="s">
        <v>119</v>
      </c>
      <c r="C1495" s="4" t="s">
        <v>3186</v>
      </c>
      <c r="D1495" s="4" t="s">
        <v>3187</v>
      </c>
      <c r="E1495" s="4">
        <v>34607928603</v>
      </c>
      <c r="F1495" s="4" t="s">
        <v>3188</v>
      </c>
      <c r="G1495" s="32">
        <v>46127</v>
      </c>
      <c r="H1495" s="4" t="s">
        <v>856</v>
      </c>
      <c r="I1495" s="4" t="s">
        <v>459</v>
      </c>
      <c r="K1495" s="67" t="b">
        <v>1</v>
      </c>
      <c r="N1495" s="67" t="b">
        <v>1</v>
      </c>
      <c r="Q1495" s="67" t="b">
        <v>1</v>
      </c>
      <c r="S1495" s="8"/>
    </row>
    <row r="1496" spans="1:19" ht="12.5">
      <c r="A1496" s="4" t="s">
        <v>5</v>
      </c>
      <c r="B1496" s="4" t="s">
        <v>119</v>
      </c>
      <c r="C1496" s="4" t="s">
        <v>2936</v>
      </c>
      <c r="E1496" s="4" t="s">
        <v>3189</v>
      </c>
      <c r="F1496" s="4" t="s">
        <v>3034</v>
      </c>
      <c r="G1496" s="32">
        <v>46127</v>
      </c>
      <c r="H1496" s="9" t="s">
        <v>956</v>
      </c>
      <c r="I1496" s="4" t="s">
        <v>459</v>
      </c>
      <c r="J1496" s="4"/>
      <c r="K1496" s="67" t="b">
        <v>1</v>
      </c>
      <c r="L1496" s="4"/>
      <c r="M1496" s="4"/>
      <c r="N1496" s="67" t="b">
        <v>1</v>
      </c>
      <c r="O1496" s="4"/>
      <c r="P1496" s="4"/>
      <c r="Q1496" s="67" t="b">
        <v>1</v>
      </c>
      <c r="R1496" s="4"/>
      <c r="S1496" s="8"/>
    </row>
    <row r="1497" spans="1:19" ht="12.5">
      <c r="A1497" s="4" t="s">
        <v>5</v>
      </c>
      <c r="B1497" s="4" t="s">
        <v>119</v>
      </c>
      <c r="C1497" s="4" t="s">
        <v>2936</v>
      </c>
      <c r="E1497" s="4" t="s">
        <v>3190</v>
      </c>
      <c r="F1497" s="4" t="s">
        <v>3049</v>
      </c>
      <c r="G1497" s="32">
        <v>46127</v>
      </c>
      <c r="H1497" s="9" t="s">
        <v>956</v>
      </c>
      <c r="I1497" s="4" t="s">
        <v>2646</v>
      </c>
      <c r="J1497" s="68" t="b">
        <v>1</v>
      </c>
      <c r="K1497" s="67" t="b">
        <v>1</v>
      </c>
      <c r="L1497" s="4"/>
      <c r="M1497" s="4"/>
      <c r="N1497" s="67" t="b">
        <v>1</v>
      </c>
      <c r="O1497" s="4"/>
      <c r="P1497" s="4"/>
      <c r="Q1497" s="67"/>
      <c r="R1497" s="4"/>
      <c r="S1497" s="8"/>
    </row>
    <row r="1498" spans="1:19" ht="12.5">
      <c r="A1498" s="4" t="s">
        <v>5</v>
      </c>
      <c r="B1498" s="4" t="s">
        <v>119</v>
      </c>
      <c r="C1498" s="4" t="s">
        <v>2936</v>
      </c>
      <c r="E1498" s="4" t="s">
        <v>3191</v>
      </c>
      <c r="F1498" s="4" t="s">
        <v>3192</v>
      </c>
      <c r="G1498" s="32">
        <v>46127</v>
      </c>
      <c r="H1498" s="9" t="s">
        <v>956</v>
      </c>
      <c r="I1498" s="4" t="s">
        <v>459</v>
      </c>
      <c r="J1498" s="68" t="b">
        <v>1</v>
      </c>
      <c r="K1498" s="67" t="b">
        <v>1</v>
      </c>
      <c r="L1498" s="4"/>
      <c r="M1498" s="4"/>
      <c r="N1498" s="67" t="b">
        <v>1</v>
      </c>
      <c r="O1498" s="4"/>
      <c r="P1498" s="4"/>
      <c r="Q1498" s="67" t="b">
        <v>1</v>
      </c>
      <c r="R1498" s="4"/>
      <c r="S1498" s="8"/>
    </row>
    <row r="1499" spans="1:19" ht="12.5">
      <c r="A1499" s="4" t="s">
        <v>5</v>
      </c>
      <c r="B1499" s="4" t="s">
        <v>119</v>
      </c>
      <c r="C1499" s="4" t="s">
        <v>2936</v>
      </c>
      <c r="E1499" s="4" t="s">
        <v>3193</v>
      </c>
      <c r="F1499" s="4" t="s">
        <v>3194</v>
      </c>
      <c r="G1499" s="32">
        <v>46127</v>
      </c>
      <c r="H1499" s="9" t="s">
        <v>956</v>
      </c>
      <c r="I1499" s="4" t="s">
        <v>459</v>
      </c>
      <c r="J1499" s="68" t="b">
        <v>1</v>
      </c>
      <c r="K1499" s="67" t="b">
        <v>1</v>
      </c>
      <c r="L1499" s="4"/>
      <c r="M1499" s="4"/>
      <c r="N1499" s="67" t="b">
        <v>1</v>
      </c>
      <c r="O1499" s="4"/>
      <c r="P1499" s="4"/>
      <c r="Q1499" s="67" t="b">
        <v>1</v>
      </c>
      <c r="R1499" s="4"/>
      <c r="S1499" s="8"/>
    </row>
    <row r="1500" spans="1:19" ht="12.5">
      <c r="A1500" s="4" t="s">
        <v>5</v>
      </c>
      <c r="B1500" s="4" t="s">
        <v>119</v>
      </c>
      <c r="C1500" s="4" t="s">
        <v>2936</v>
      </c>
      <c r="E1500" s="4" t="s">
        <v>3195</v>
      </c>
      <c r="F1500" s="4" t="s">
        <v>3041</v>
      </c>
      <c r="G1500" s="32">
        <v>46127</v>
      </c>
      <c r="H1500" s="9" t="s">
        <v>956</v>
      </c>
      <c r="I1500" s="4" t="s">
        <v>459</v>
      </c>
      <c r="J1500" s="4"/>
      <c r="K1500" s="67" t="b">
        <v>1</v>
      </c>
      <c r="L1500" s="4"/>
      <c r="M1500" s="4"/>
      <c r="N1500" s="67" t="b">
        <v>1</v>
      </c>
      <c r="O1500" s="4"/>
      <c r="P1500" s="4"/>
      <c r="Q1500" s="67" t="b">
        <v>1</v>
      </c>
      <c r="R1500" s="4"/>
      <c r="S1500" s="8"/>
    </row>
    <row r="1501" spans="1:19" ht="12.5">
      <c r="A1501" s="4" t="s">
        <v>5</v>
      </c>
      <c r="B1501" s="4" t="s">
        <v>119</v>
      </c>
      <c r="C1501" s="4" t="s">
        <v>3196</v>
      </c>
      <c r="D1501" s="4" t="s">
        <v>3197</v>
      </c>
      <c r="E1501" s="4">
        <v>526143743219</v>
      </c>
      <c r="F1501" s="4" t="s">
        <v>354</v>
      </c>
      <c r="G1501" s="32">
        <v>46127</v>
      </c>
      <c r="H1501" s="4" t="s">
        <v>856</v>
      </c>
      <c r="I1501" s="4" t="s">
        <v>459</v>
      </c>
      <c r="K1501" s="67" t="b">
        <v>1</v>
      </c>
      <c r="N1501" s="67" t="b">
        <v>1</v>
      </c>
      <c r="Q1501" s="67" t="b">
        <v>1</v>
      </c>
      <c r="S1501" s="8"/>
    </row>
    <row r="1502" spans="1:19" ht="12.5">
      <c r="A1502" s="4" t="s">
        <v>5</v>
      </c>
      <c r="B1502" s="4" t="s">
        <v>119</v>
      </c>
      <c r="C1502" s="4" t="s">
        <v>406</v>
      </c>
      <c r="D1502" s="4" t="s">
        <v>3198</v>
      </c>
      <c r="E1502" s="4">
        <v>34608788454</v>
      </c>
      <c r="F1502" s="4" t="s">
        <v>388</v>
      </c>
      <c r="G1502" s="32">
        <v>46127</v>
      </c>
      <c r="H1502" s="4" t="s">
        <v>856</v>
      </c>
      <c r="I1502" s="4" t="s">
        <v>1015</v>
      </c>
      <c r="J1502" s="68" t="b">
        <v>1</v>
      </c>
      <c r="K1502" s="67" t="b">
        <v>1</v>
      </c>
      <c r="N1502" s="67" t="b">
        <v>1</v>
      </c>
      <c r="Q1502" s="67" t="b">
        <v>1</v>
      </c>
      <c r="S1502" s="8"/>
    </row>
    <row r="1503" spans="1:19" ht="12.5">
      <c r="A1503" s="4" t="s">
        <v>5</v>
      </c>
      <c r="B1503" s="4" t="s">
        <v>119</v>
      </c>
      <c r="C1503" s="4" t="s">
        <v>3199</v>
      </c>
      <c r="D1503" s="4" t="s">
        <v>3200</v>
      </c>
      <c r="E1503" s="4">
        <v>56957322464</v>
      </c>
      <c r="F1503" s="4" t="s">
        <v>3117</v>
      </c>
      <c r="G1503" s="32">
        <v>46127</v>
      </c>
      <c r="H1503" s="4" t="s">
        <v>856</v>
      </c>
      <c r="I1503" s="4" t="s">
        <v>459</v>
      </c>
      <c r="K1503" s="67" t="b">
        <v>1</v>
      </c>
      <c r="N1503" s="67" t="b">
        <v>1</v>
      </c>
      <c r="Q1503" s="67" t="b">
        <v>1</v>
      </c>
      <c r="S1503" s="8"/>
    </row>
    <row r="1504" spans="1:19" ht="12.5">
      <c r="A1504" s="4" t="s">
        <v>5</v>
      </c>
      <c r="B1504" s="4" t="s">
        <v>119</v>
      </c>
      <c r="C1504" s="4" t="s">
        <v>3201</v>
      </c>
      <c r="D1504" s="4" t="s">
        <v>3202</v>
      </c>
      <c r="E1504" s="4">
        <v>985032363</v>
      </c>
      <c r="F1504" s="4" t="s">
        <v>496</v>
      </c>
      <c r="G1504" s="32">
        <v>46128</v>
      </c>
      <c r="H1504" s="4" t="s">
        <v>856</v>
      </c>
      <c r="I1504" s="4" t="s">
        <v>459</v>
      </c>
      <c r="K1504" s="67" t="b">
        <v>0</v>
      </c>
      <c r="L1504" s="68" t="b">
        <v>1</v>
      </c>
      <c r="O1504" s="68" t="b">
        <v>1</v>
      </c>
      <c r="S1504" s="8"/>
    </row>
    <row r="1505" spans="1:19" ht="12.5">
      <c r="A1505" s="4" t="s">
        <v>5</v>
      </c>
      <c r="B1505" s="4" t="s">
        <v>119</v>
      </c>
      <c r="C1505" s="4" t="s">
        <v>3203</v>
      </c>
      <c r="D1505" s="4" t="s">
        <v>3204</v>
      </c>
      <c r="E1505" s="4">
        <v>56996420024</v>
      </c>
      <c r="F1505" s="4" t="s">
        <v>8</v>
      </c>
      <c r="G1505" s="32">
        <v>46128</v>
      </c>
      <c r="H1505" s="4" t="s">
        <v>856</v>
      </c>
      <c r="I1505" s="4" t="s">
        <v>459</v>
      </c>
      <c r="J1505" s="68" t="b">
        <v>1</v>
      </c>
      <c r="K1505" s="67" t="b">
        <v>1</v>
      </c>
      <c r="N1505" s="67" t="b">
        <v>1</v>
      </c>
      <c r="Q1505" s="67" t="b">
        <v>1</v>
      </c>
      <c r="S1505" s="8"/>
    </row>
    <row r="1506" spans="1:19" ht="12.5">
      <c r="A1506" s="4" t="s">
        <v>5</v>
      </c>
      <c r="B1506" s="4" t="s">
        <v>119</v>
      </c>
      <c r="C1506" s="4" t="s">
        <v>1111</v>
      </c>
      <c r="E1506" s="4" t="s">
        <v>3205</v>
      </c>
      <c r="F1506" s="4" t="s">
        <v>3206</v>
      </c>
      <c r="G1506" s="32">
        <v>46128</v>
      </c>
      <c r="H1506" s="9" t="s">
        <v>956</v>
      </c>
      <c r="I1506" s="4" t="s">
        <v>941</v>
      </c>
      <c r="J1506" s="68" t="b">
        <v>1</v>
      </c>
      <c r="K1506" s="67" t="b">
        <v>1</v>
      </c>
      <c r="L1506" s="4"/>
      <c r="M1506" s="4"/>
      <c r="N1506" s="67" t="b">
        <v>1</v>
      </c>
      <c r="O1506" s="4"/>
      <c r="P1506" s="4"/>
      <c r="Q1506" s="4"/>
      <c r="R1506" s="4"/>
      <c r="S1506" s="8"/>
    </row>
    <row r="1507" spans="1:19" ht="12.5">
      <c r="A1507" s="4" t="s">
        <v>5</v>
      </c>
      <c r="B1507" s="4" t="s">
        <v>119</v>
      </c>
      <c r="C1507" s="4" t="s">
        <v>3207</v>
      </c>
      <c r="E1507" s="4" t="s">
        <v>3208</v>
      </c>
      <c r="F1507" s="4" t="s">
        <v>2992</v>
      </c>
      <c r="G1507" s="32">
        <v>46128</v>
      </c>
      <c r="H1507" s="9" t="s">
        <v>956</v>
      </c>
      <c r="I1507" s="4" t="s">
        <v>2646</v>
      </c>
      <c r="J1507" s="68" t="b">
        <v>1</v>
      </c>
      <c r="K1507" s="67" t="b">
        <v>1</v>
      </c>
      <c r="L1507" s="4"/>
      <c r="M1507" s="4"/>
      <c r="N1507" s="67" t="b">
        <v>1</v>
      </c>
      <c r="O1507" s="4"/>
      <c r="P1507" s="4"/>
      <c r="Q1507" s="67" t="b">
        <v>1</v>
      </c>
      <c r="R1507" s="4"/>
      <c r="S1507" s="8"/>
    </row>
    <row r="1508" spans="1:19" ht="12.5">
      <c r="A1508" s="4" t="s">
        <v>5</v>
      </c>
      <c r="B1508" s="4" t="s">
        <v>119</v>
      </c>
      <c r="C1508" s="4" t="s">
        <v>3209</v>
      </c>
      <c r="E1508" s="4" t="s">
        <v>3210</v>
      </c>
      <c r="F1508" s="4" t="s">
        <v>3031</v>
      </c>
      <c r="G1508" s="32">
        <v>46128</v>
      </c>
      <c r="H1508" s="9" t="s">
        <v>956</v>
      </c>
      <c r="I1508" s="4" t="s">
        <v>459</v>
      </c>
      <c r="J1508" s="68" t="b">
        <v>1</v>
      </c>
      <c r="K1508" s="67" t="b">
        <v>1</v>
      </c>
      <c r="L1508" s="4"/>
      <c r="M1508" s="4"/>
      <c r="N1508" s="67" t="b">
        <v>1</v>
      </c>
      <c r="O1508" s="4"/>
      <c r="P1508" s="4"/>
      <c r="Q1508" s="67" t="b">
        <v>1</v>
      </c>
      <c r="R1508" s="4"/>
      <c r="S1508" s="8"/>
    </row>
    <row r="1509" spans="1:19" ht="12.5">
      <c r="A1509" s="4" t="s">
        <v>5</v>
      </c>
      <c r="B1509" s="4" t="s">
        <v>119</v>
      </c>
      <c r="C1509" s="4" t="s">
        <v>2936</v>
      </c>
      <c r="E1509" s="4" t="s">
        <v>3211</v>
      </c>
      <c r="F1509" s="4" t="s">
        <v>319</v>
      </c>
      <c r="G1509" s="32">
        <v>46128</v>
      </c>
      <c r="H1509" s="9" t="s">
        <v>956</v>
      </c>
      <c r="I1509" s="4" t="s">
        <v>459</v>
      </c>
      <c r="J1509" s="4"/>
      <c r="K1509" s="67" t="b">
        <v>1</v>
      </c>
      <c r="L1509" s="4"/>
      <c r="M1509" s="4"/>
      <c r="N1509" s="67" t="b">
        <v>1</v>
      </c>
      <c r="O1509" s="4"/>
      <c r="P1509" s="4"/>
      <c r="Q1509" s="67" t="b">
        <v>1</v>
      </c>
      <c r="R1509" s="4"/>
      <c r="S1509" s="8"/>
    </row>
    <row r="1510" spans="1:19" ht="12.5">
      <c r="A1510" s="4" t="s">
        <v>5</v>
      </c>
      <c r="B1510" s="4" t="s">
        <v>119</v>
      </c>
      <c r="C1510" s="4" t="s">
        <v>2936</v>
      </c>
      <c r="E1510" s="4" t="s">
        <v>3212</v>
      </c>
      <c r="F1510" s="4" t="s">
        <v>3213</v>
      </c>
      <c r="G1510" s="32">
        <v>46128</v>
      </c>
      <c r="H1510" s="9" t="s">
        <v>956</v>
      </c>
      <c r="I1510" s="4" t="s">
        <v>459</v>
      </c>
      <c r="J1510" s="4"/>
      <c r="K1510" s="67" t="b">
        <v>1</v>
      </c>
      <c r="L1510" s="4"/>
      <c r="M1510" s="4"/>
      <c r="N1510" s="67" t="b">
        <v>1</v>
      </c>
      <c r="O1510" s="4"/>
      <c r="P1510" s="4"/>
      <c r="Q1510" s="67" t="b">
        <v>1</v>
      </c>
      <c r="R1510" s="4"/>
      <c r="S1510" s="8"/>
    </row>
    <row r="1511" spans="1:19" ht="12.5">
      <c r="A1511" s="4" t="s">
        <v>5</v>
      </c>
      <c r="B1511" s="4" t="s">
        <v>119</v>
      </c>
      <c r="C1511" s="4" t="s">
        <v>2936</v>
      </c>
      <c r="E1511" s="4" t="s">
        <v>3214</v>
      </c>
      <c r="F1511" s="4" t="s">
        <v>3165</v>
      </c>
      <c r="G1511" s="32">
        <v>46128</v>
      </c>
      <c r="H1511" s="9" t="s">
        <v>956</v>
      </c>
      <c r="I1511" s="4" t="s">
        <v>459</v>
      </c>
      <c r="J1511" s="4"/>
      <c r="K1511" s="67" t="b">
        <v>1</v>
      </c>
      <c r="L1511" s="4"/>
      <c r="M1511" s="4"/>
      <c r="N1511" s="67" t="b">
        <v>1</v>
      </c>
      <c r="O1511" s="4"/>
      <c r="P1511" s="4"/>
      <c r="Q1511" s="67" t="b">
        <v>1</v>
      </c>
      <c r="R1511" s="4"/>
      <c r="S1511" s="8"/>
    </row>
    <row r="1512" spans="1:19" ht="12.5">
      <c r="A1512" s="4" t="s">
        <v>5</v>
      </c>
      <c r="B1512" s="4" t="s">
        <v>119</v>
      </c>
      <c r="C1512" s="4" t="s">
        <v>2936</v>
      </c>
      <c r="E1512" s="4" t="s">
        <v>3215</v>
      </c>
      <c r="F1512" s="4" t="s">
        <v>3216</v>
      </c>
      <c r="G1512" s="32">
        <v>46128</v>
      </c>
      <c r="H1512" s="9" t="s">
        <v>956</v>
      </c>
      <c r="I1512" s="4" t="s">
        <v>459</v>
      </c>
      <c r="J1512" s="4"/>
      <c r="K1512" s="67" t="b">
        <v>1</v>
      </c>
      <c r="L1512" s="4"/>
      <c r="M1512" s="4"/>
      <c r="N1512" s="67" t="b">
        <v>1</v>
      </c>
      <c r="O1512" s="4"/>
      <c r="P1512" s="4"/>
      <c r="Q1512" s="67" t="b">
        <v>1</v>
      </c>
      <c r="R1512" s="4"/>
      <c r="S1512" s="8"/>
    </row>
    <row r="1513" spans="1:19" ht="12.5">
      <c r="A1513" s="4" t="s">
        <v>5</v>
      </c>
      <c r="B1513" s="4" t="s">
        <v>119</v>
      </c>
      <c r="C1513" s="4" t="s">
        <v>2936</v>
      </c>
      <c r="E1513" s="4" t="s">
        <v>3217</v>
      </c>
      <c r="F1513" s="4" t="s">
        <v>2828</v>
      </c>
      <c r="G1513" s="32">
        <v>46128</v>
      </c>
      <c r="H1513" s="9" t="s">
        <v>956</v>
      </c>
      <c r="I1513" s="4" t="s">
        <v>459</v>
      </c>
      <c r="J1513" s="4"/>
      <c r="K1513" s="67" t="b">
        <v>1</v>
      </c>
      <c r="L1513" s="4"/>
      <c r="M1513" s="4"/>
      <c r="N1513" s="67" t="b">
        <v>1</v>
      </c>
      <c r="O1513" s="4"/>
      <c r="P1513" s="4"/>
      <c r="Q1513" s="67" t="b">
        <v>1</v>
      </c>
      <c r="R1513" s="4"/>
      <c r="S1513" s="8"/>
    </row>
    <row r="1514" spans="1:19" ht="12.5">
      <c r="A1514" s="4" t="s">
        <v>5</v>
      </c>
      <c r="B1514" s="4" t="s">
        <v>119</v>
      </c>
      <c r="C1514" s="4" t="s">
        <v>3218</v>
      </c>
      <c r="E1514" s="4" t="s">
        <v>3219</v>
      </c>
      <c r="F1514" s="4" t="s">
        <v>2878</v>
      </c>
      <c r="G1514" s="32">
        <v>46128</v>
      </c>
      <c r="H1514" s="9" t="s">
        <v>956</v>
      </c>
      <c r="I1514" s="4" t="s">
        <v>459</v>
      </c>
      <c r="J1514" s="4"/>
      <c r="K1514" s="67" t="b">
        <v>1</v>
      </c>
      <c r="L1514" s="4"/>
      <c r="M1514" s="4"/>
      <c r="N1514" s="67" t="b">
        <v>1</v>
      </c>
      <c r="O1514" s="4"/>
      <c r="P1514" s="4"/>
      <c r="Q1514" s="67" t="b">
        <v>1</v>
      </c>
      <c r="R1514" s="4"/>
      <c r="S1514" s="8"/>
    </row>
    <row r="1515" spans="1:19" ht="12.5">
      <c r="A1515" s="4" t="s">
        <v>5</v>
      </c>
      <c r="B1515" s="4" t="s">
        <v>119</v>
      </c>
      <c r="C1515" s="4" t="s">
        <v>3220</v>
      </c>
      <c r="E1515" s="4" t="s">
        <v>3221</v>
      </c>
      <c r="F1515" s="4" t="s">
        <v>309</v>
      </c>
      <c r="G1515" s="32">
        <v>46128</v>
      </c>
      <c r="H1515" s="9" t="s">
        <v>956</v>
      </c>
      <c r="I1515" s="4" t="s">
        <v>459</v>
      </c>
      <c r="J1515" s="4"/>
      <c r="K1515" s="67" t="b">
        <v>1</v>
      </c>
      <c r="L1515" s="4"/>
      <c r="M1515" s="4"/>
      <c r="N1515" s="67" t="b">
        <v>1</v>
      </c>
      <c r="O1515" s="4"/>
      <c r="P1515" s="4"/>
      <c r="Q1515" s="67" t="b">
        <v>1</v>
      </c>
      <c r="R1515" s="4"/>
      <c r="S1515" s="8"/>
    </row>
    <row r="1516" spans="1:19" ht="12.5">
      <c r="A1516" s="4" t="s">
        <v>5</v>
      </c>
      <c r="B1516" s="4" t="s">
        <v>119</v>
      </c>
      <c r="C1516" s="4" t="s">
        <v>2936</v>
      </c>
      <c r="E1516" s="4" t="s">
        <v>3222</v>
      </c>
      <c r="F1516" s="4" t="s">
        <v>3223</v>
      </c>
      <c r="G1516" s="32">
        <v>46128</v>
      </c>
      <c r="H1516" s="9" t="s">
        <v>956</v>
      </c>
      <c r="I1516" s="4" t="s">
        <v>459</v>
      </c>
      <c r="J1516" s="4"/>
      <c r="K1516" s="67" t="b">
        <v>1</v>
      </c>
      <c r="L1516" s="4"/>
      <c r="M1516" s="4"/>
      <c r="N1516" s="67" t="b">
        <v>1</v>
      </c>
      <c r="O1516" s="4"/>
      <c r="P1516" s="4"/>
      <c r="Q1516" s="67" t="b">
        <v>1</v>
      </c>
      <c r="R1516" s="4"/>
      <c r="S1516" s="8"/>
    </row>
    <row r="1517" spans="1:19" ht="12.5">
      <c r="A1517" s="4" t="s">
        <v>5</v>
      </c>
      <c r="B1517" s="4" t="s">
        <v>119</v>
      </c>
      <c r="C1517" s="4" t="s">
        <v>2936</v>
      </c>
      <c r="F1517" s="4" t="s">
        <v>3034</v>
      </c>
      <c r="G1517" s="32">
        <v>46128</v>
      </c>
      <c r="H1517" s="9" t="s">
        <v>956</v>
      </c>
      <c r="I1517" s="4" t="s">
        <v>459</v>
      </c>
      <c r="J1517" s="4"/>
      <c r="K1517" s="67" t="b">
        <v>1</v>
      </c>
      <c r="L1517" s="4"/>
      <c r="M1517" s="4"/>
      <c r="N1517" s="67" t="b">
        <v>1</v>
      </c>
      <c r="O1517" s="4"/>
      <c r="P1517" s="4"/>
      <c r="Q1517" s="67" t="b">
        <v>1</v>
      </c>
      <c r="R1517" s="4"/>
      <c r="S1517" s="8"/>
    </row>
    <row r="1518" spans="1:19" ht="12.5">
      <c r="A1518" s="4" t="s">
        <v>5</v>
      </c>
      <c r="B1518" s="4" t="s">
        <v>119</v>
      </c>
      <c r="C1518" s="4" t="s">
        <v>2936</v>
      </c>
      <c r="E1518" s="4" t="s">
        <v>3224</v>
      </c>
      <c r="F1518" s="4" t="s">
        <v>2828</v>
      </c>
      <c r="G1518" s="32">
        <v>46128</v>
      </c>
      <c r="H1518" s="9" t="s">
        <v>956</v>
      </c>
      <c r="I1518" s="4" t="s">
        <v>459</v>
      </c>
      <c r="J1518" s="4"/>
      <c r="K1518" s="67" t="b">
        <v>1</v>
      </c>
      <c r="L1518" s="4"/>
      <c r="M1518" s="4"/>
      <c r="N1518" s="67" t="b">
        <v>1</v>
      </c>
      <c r="O1518" s="4"/>
      <c r="P1518" s="4"/>
      <c r="Q1518" s="67" t="b">
        <v>1</v>
      </c>
      <c r="R1518" s="4"/>
      <c r="S1518" s="8"/>
    </row>
    <row r="1519" spans="1:19" ht="12.5">
      <c r="A1519" s="4" t="s">
        <v>5</v>
      </c>
      <c r="B1519" s="4" t="s">
        <v>119</v>
      </c>
      <c r="C1519" s="4" t="s">
        <v>2936</v>
      </c>
      <c r="E1519" s="4" t="s">
        <v>3225</v>
      </c>
      <c r="F1519" s="4" t="s">
        <v>2828</v>
      </c>
      <c r="G1519" s="32">
        <v>46128</v>
      </c>
      <c r="H1519" s="9" t="s">
        <v>956</v>
      </c>
      <c r="I1519" s="4" t="s">
        <v>459</v>
      </c>
      <c r="J1519" s="4"/>
      <c r="K1519" s="67" t="b">
        <v>1</v>
      </c>
      <c r="L1519" s="4"/>
      <c r="M1519" s="4"/>
      <c r="N1519" s="67" t="b">
        <v>1</v>
      </c>
      <c r="O1519" s="4"/>
      <c r="P1519" s="4"/>
      <c r="Q1519" s="67" t="b">
        <v>1</v>
      </c>
      <c r="R1519" s="4"/>
      <c r="S1519" s="8"/>
    </row>
    <row r="1520" spans="1:19" ht="12.5">
      <c r="A1520" s="4" t="s">
        <v>5</v>
      </c>
      <c r="B1520" s="4" t="s">
        <v>119</v>
      </c>
      <c r="C1520" s="4" t="s">
        <v>2936</v>
      </c>
      <c r="E1520" s="4" t="s">
        <v>3002</v>
      </c>
      <c r="F1520" s="4" t="s">
        <v>3226</v>
      </c>
      <c r="G1520" s="32">
        <v>46128</v>
      </c>
      <c r="H1520" s="9" t="s">
        <v>956</v>
      </c>
      <c r="I1520" s="4" t="s">
        <v>1097</v>
      </c>
      <c r="J1520" s="68" t="b">
        <v>1</v>
      </c>
      <c r="K1520" s="67" t="b">
        <v>1</v>
      </c>
      <c r="L1520" s="4"/>
      <c r="M1520" s="4"/>
      <c r="N1520" s="67" t="b">
        <v>1</v>
      </c>
      <c r="O1520" s="4"/>
      <c r="P1520" s="4"/>
      <c r="Q1520" s="67" t="b">
        <v>1</v>
      </c>
      <c r="R1520" s="4"/>
      <c r="S1520" s="8"/>
    </row>
    <row r="1521" spans="1:19" ht="12.5">
      <c r="A1521" s="4" t="s">
        <v>5</v>
      </c>
      <c r="B1521" s="4" t="s">
        <v>119</v>
      </c>
      <c r="C1521" s="4" t="s">
        <v>2936</v>
      </c>
      <c r="F1521" s="4" t="s">
        <v>309</v>
      </c>
      <c r="G1521" s="32">
        <v>46128</v>
      </c>
      <c r="H1521" s="9" t="s">
        <v>956</v>
      </c>
      <c r="I1521" s="4" t="s">
        <v>459</v>
      </c>
      <c r="J1521" s="4"/>
      <c r="K1521" s="67" t="b">
        <v>1</v>
      </c>
      <c r="L1521" s="4"/>
      <c r="M1521" s="4"/>
      <c r="N1521" s="4"/>
      <c r="O1521" s="4"/>
      <c r="P1521" s="4"/>
      <c r="Q1521" s="4"/>
      <c r="R1521" s="4"/>
      <c r="S1521" s="8"/>
    </row>
    <row r="1522" spans="1:19" ht="12.5">
      <c r="A1522" s="4" t="s">
        <v>5</v>
      </c>
      <c r="B1522" s="4" t="s">
        <v>119</v>
      </c>
      <c r="C1522" s="4" t="s">
        <v>3227</v>
      </c>
      <c r="E1522" s="4" t="s">
        <v>3228</v>
      </c>
      <c r="F1522" s="4" t="s">
        <v>388</v>
      </c>
      <c r="G1522" s="32">
        <v>46128</v>
      </c>
      <c r="H1522" s="9" t="s">
        <v>956</v>
      </c>
      <c r="I1522" s="4" t="s">
        <v>941</v>
      </c>
      <c r="J1522" s="68" t="b">
        <v>1</v>
      </c>
      <c r="K1522" s="67" t="b">
        <v>1</v>
      </c>
      <c r="L1522" s="4"/>
      <c r="M1522" s="4"/>
      <c r="N1522" s="67" t="b">
        <v>1</v>
      </c>
      <c r="O1522" s="4"/>
      <c r="P1522" s="4"/>
      <c r="Q1522" s="4"/>
      <c r="R1522" s="4"/>
      <c r="S1522" s="8"/>
    </row>
    <row r="1523" spans="1:19" ht="12.5">
      <c r="A1523" s="4" t="s">
        <v>5</v>
      </c>
      <c r="B1523" s="4" t="s">
        <v>119</v>
      </c>
      <c r="C1523" s="4" t="s">
        <v>3229</v>
      </c>
      <c r="E1523" s="4" t="s">
        <v>358</v>
      </c>
      <c r="F1523" s="4" t="s">
        <v>2878</v>
      </c>
      <c r="G1523" s="32">
        <v>46128</v>
      </c>
      <c r="H1523" s="9" t="s">
        <v>956</v>
      </c>
      <c r="I1523" s="4" t="s">
        <v>459</v>
      </c>
      <c r="J1523" s="68" t="b">
        <v>1</v>
      </c>
      <c r="K1523" s="67" t="b">
        <v>1</v>
      </c>
      <c r="L1523" s="4"/>
      <c r="M1523" s="4"/>
      <c r="N1523" s="4"/>
      <c r="O1523" s="4"/>
      <c r="P1523" s="4"/>
      <c r="Q1523" s="4"/>
      <c r="R1523" s="4"/>
      <c r="S1523" s="8"/>
    </row>
    <row r="1524" spans="1:19" ht="12.5">
      <c r="A1524" s="4" t="s">
        <v>5</v>
      </c>
      <c r="B1524" s="4" t="s">
        <v>119</v>
      </c>
      <c r="C1524" s="4" t="s">
        <v>2936</v>
      </c>
      <c r="E1524" s="4" t="s">
        <v>3230</v>
      </c>
      <c r="F1524" s="4" t="s">
        <v>2238</v>
      </c>
      <c r="G1524" s="32">
        <v>46128</v>
      </c>
      <c r="H1524" s="9" t="s">
        <v>956</v>
      </c>
      <c r="I1524" s="4" t="s">
        <v>459</v>
      </c>
      <c r="J1524" s="68" t="b">
        <v>1</v>
      </c>
      <c r="K1524" s="67" t="b">
        <v>1</v>
      </c>
      <c r="L1524" s="4"/>
      <c r="M1524" s="4"/>
      <c r="N1524" s="67" t="b">
        <v>1</v>
      </c>
      <c r="O1524" s="4"/>
      <c r="P1524" s="4"/>
      <c r="Q1524" s="67" t="b">
        <v>1</v>
      </c>
      <c r="R1524" s="4"/>
      <c r="S1524" s="8"/>
    </row>
    <row r="1525" spans="1:19" ht="12.5">
      <c r="A1525" s="4" t="s">
        <v>5</v>
      </c>
      <c r="B1525" s="4" t="s">
        <v>119</v>
      </c>
      <c r="C1525" s="4" t="s">
        <v>2936</v>
      </c>
      <c r="E1525" s="4" t="s">
        <v>3231</v>
      </c>
      <c r="F1525" s="4" t="s">
        <v>3232</v>
      </c>
      <c r="G1525" s="32">
        <v>46128</v>
      </c>
      <c r="H1525" s="9" t="s">
        <v>956</v>
      </c>
      <c r="I1525" s="4" t="s">
        <v>459</v>
      </c>
      <c r="J1525" s="4"/>
      <c r="K1525" s="67" t="b">
        <v>1</v>
      </c>
      <c r="L1525" s="4"/>
      <c r="M1525" s="4"/>
      <c r="N1525" s="67" t="b">
        <v>1</v>
      </c>
      <c r="O1525" s="4"/>
      <c r="P1525" s="4"/>
      <c r="Q1525" s="67" t="b">
        <v>1</v>
      </c>
      <c r="R1525" s="8"/>
      <c r="S1525" s="8"/>
    </row>
    <row r="1526" spans="1:19" ht="12.5">
      <c r="A1526" s="4" t="s">
        <v>5</v>
      </c>
      <c r="B1526" s="4" t="s">
        <v>119</v>
      </c>
      <c r="C1526" s="4" t="s">
        <v>2936</v>
      </c>
      <c r="E1526" s="4" t="s">
        <v>3233</v>
      </c>
      <c r="F1526" s="4" t="s">
        <v>3194</v>
      </c>
      <c r="G1526" s="32">
        <v>46128</v>
      </c>
      <c r="H1526" s="9" t="s">
        <v>956</v>
      </c>
      <c r="I1526" s="4" t="s">
        <v>459</v>
      </c>
      <c r="J1526" s="68" t="b">
        <v>1</v>
      </c>
      <c r="K1526" s="67" t="b">
        <v>1</v>
      </c>
      <c r="L1526" s="4"/>
      <c r="M1526" s="4"/>
      <c r="N1526" s="67" t="b">
        <v>1</v>
      </c>
      <c r="O1526" s="4"/>
      <c r="P1526" s="4"/>
      <c r="Q1526" s="67" t="b">
        <v>1</v>
      </c>
      <c r="R1526" s="8"/>
      <c r="S1526" s="8"/>
    </row>
    <row r="1527" spans="1:19" ht="12.5">
      <c r="A1527" s="4" t="s">
        <v>5</v>
      </c>
      <c r="B1527" s="4" t="s">
        <v>119</v>
      </c>
      <c r="C1527" s="4" t="s">
        <v>3234</v>
      </c>
      <c r="D1527" s="4" t="s">
        <v>3235</v>
      </c>
      <c r="E1527" s="4">
        <v>18083857200</v>
      </c>
      <c r="F1527" s="4" t="s">
        <v>3104</v>
      </c>
      <c r="G1527" s="32">
        <v>46128</v>
      </c>
      <c r="H1527" s="9" t="s">
        <v>856</v>
      </c>
      <c r="I1527" s="4" t="s">
        <v>459</v>
      </c>
      <c r="J1527" s="68" t="b">
        <v>0</v>
      </c>
      <c r="K1527" s="67" t="b">
        <v>1</v>
      </c>
      <c r="N1527" s="67" t="b">
        <v>1</v>
      </c>
      <c r="Q1527" s="67" t="b">
        <v>1</v>
      </c>
      <c r="R1527" s="8"/>
      <c r="S1527" s="8"/>
    </row>
    <row r="1528" spans="1:19" ht="12.5">
      <c r="A1528" s="4" t="s">
        <v>5</v>
      </c>
      <c r="B1528" s="4" t="s">
        <v>119</v>
      </c>
      <c r="C1528" s="4" t="s">
        <v>2936</v>
      </c>
      <c r="E1528" s="4" t="s">
        <v>3236</v>
      </c>
      <c r="F1528" s="4" t="s">
        <v>3237</v>
      </c>
      <c r="G1528" s="32">
        <v>46128</v>
      </c>
      <c r="H1528" s="9" t="s">
        <v>956</v>
      </c>
      <c r="I1528" s="4" t="s">
        <v>459</v>
      </c>
      <c r="J1528" s="4"/>
      <c r="K1528" s="67" t="b">
        <v>1</v>
      </c>
      <c r="L1528" s="4"/>
      <c r="M1528" s="4"/>
      <c r="N1528" s="67"/>
      <c r="O1528" s="4"/>
      <c r="P1528" s="4"/>
      <c r="Q1528" s="67"/>
      <c r="R1528" s="8"/>
      <c r="S1528" s="8"/>
    </row>
    <row r="1529" spans="1:19" ht="12.5">
      <c r="A1529" s="4" t="s">
        <v>5</v>
      </c>
      <c r="B1529" s="4" t="s">
        <v>119</v>
      </c>
      <c r="C1529" s="4" t="s">
        <v>3238</v>
      </c>
      <c r="D1529" s="4" t="s">
        <v>3239</v>
      </c>
      <c r="E1529" s="4">
        <v>5731153112</v>
      </c>
      <c r="F1529" s="4" t="s">
        <v>2238</v>
      </c>
      <c r="G1529" s="32">
        <v>46129</v>
      </c>
      <c r="H1529" s="4" t="s">
        <v>856</v>
      </c>
      <c r="I1529" s="4" t="s">
        <v>459</v>
      </c>
      <c r="K1529" s="67"/>
      <c r="L1529" s="68" t="b">
        <v>1</v>
      </c>
      <c r="O1529" s="68" t="b">
        <v>1</v>
      </c>
      <c r="R1529" s="8"/>
      <c r="S1529" s="8"/>
    </row>
    <row r="1530" spans="1:19" ht="12.5">
      <c r="A1530" s="4" t="s">
        <v>5</v>
      </c>
      <c r="B1530" s="4" t="s">
        <v>119</v>
      </c>
      <c r="C1530" s="4" t="s">
        <v>3240</v>
      </c>
      <c r="D1530" s="4" t="s">
        <v>3241</v>
      </c>
      <c r="E1530" s="4">
        <v>525510095718</v>
      </c>
      <c r="F1530" s="4" t="s">
        <v>792</v>
      </c>
      <c r="G1530" s="32">
        <v>46129</v>
      </c>
      <c r="H1530" s="4" t="s">
        <v>856</v>
      </c>
      <c r="I1530" s="4" t="s">
        <v>459</v>
      </c>
      <c r="K1530" s="67" t="b">
        <v>1</v>
      </c>
      <c r="N1530" s="67" t="b">
        <v>1</v>
      </c>
      <c r="R1530" s="8"/>
      <c r="S1530" s="8"/>
    </row>
    <row r="1531" spans="1:19" ht="12.5">
      <c r="A1531" s="4" t="s">
        <v>5</v>
      </c>
      <c r="B1531" s="4" t="s">
        <v>119</v>
      </c>
      <c r="C1531" s="4" t="s">
        <v>3242</v>
      </c>
      <c r="D1531" s="4" t="s">
        <v>3243</v>
      </c>
      <c r="E1531" s="4">
        <v>522292073548</v>
      </c>
      <c r="F1531" s="4" t="s">
        <v>2385</v>
      </c>
      <c r="G1531" s="32">
        <v>46129</v>
      </c>
      <c r="H1531" s="4" t="s">
        <v>856</v>
      </c>
      <c r="I1531" s="4" t="s">
        <v>459</v>
      </c>
      <c r="K1531" s="67" t="b">
        <v>1</v>
      </c>
      <c r="N1531" s="67" t="b">
        <v>1</v>
      </c>
      <c r="Q1531" s="67" t="b">
        <v>1</v>
      </c>
      <c r="R1531" s="8"/>
      <c r="S1531" s="8"/>
    </row>
    <row r="1532" spans="1:19" ht="12.5">
      <c r="A1532" s="4" t="s">
        <v>5</v>
      </c>
      <c r="B1532" s="4" t="s">
        <v>119</v>
      </c>
      <c r="C1532" s="4" t="s">
        <v>3244</v>
      </c>
      <c r="D1532" s="4" t="s">
        <v>3245</v>
      </c>
      <c r="E1532" s="4">
        <v>56977709053</v>
      </c>
      <c r="F1532" s="4" t="s">
        <v>426</v>
      </c>
      <c r="G1532" s="32">
        <v>46129</v>
      </c>
      <c r="H1532" s="4" t="s">
        <v>856</v>
      </c>
      <c r="I1532" s="4" t="s">
        <v>459</v>
      </c>
      <c r="K1532" s="67" t="b">
        <v>1</v>
      </c>
      <c r="N1532" s="67" t="b">
        <v>1</v>
      </c>
      <c r="Q1532" s="67" t="b">
        <v>1</v>
      </c>
      <c r="R1532" s="8"/>
      <c r="S1532" s="8"/>
    </row>
    <row r="1533" spans="1:19" ht="12.5">
      <c r="A1533" s="4" t="s">
        <v>5</v>
      </c>
      <c r="B1533" s="4" t="s">
        <v>119</v>
      </c>
      <c r="C1533" s="4" t="s">
        <v>3246</v>
      </c>
      <c r="D1533" s="4" t="s">
        <v>3247</v>
      </c>
      <c r="E1533" s="4">
        <v>51958630176</v>
      </c>
      <c r="F1533" s="4" t="s">
        <v>3104</v>
      </c>
      <c r="G1533" s="32">
        <v>46129</v>
      </c>
      <c r="H1533" s="4" t="s">
        <v>856</v>
      </c>
      <c r="I1533" s="4" t="s">
        <v>459</v>
      </c>
      <c r="K1533" s="67" t="b">
        <v>1</v>
      </c>
      <c r="N1533" s="67" t="b">
        <v>1</v>
      </c>
      <c r="Q1533" s="67" t="b">
        <v>1</v>
      </c>
      <c r="R1533" s="8"/>
      <c r="S1533" s="8"/>
    </row>
    <row r="1534" spans="1:19" ht="12.5">
      <c r="A1534" s="4" t="s">
        <v>5</v>
      </c>
      <c r="B1534" s="4" t="s">
        <v>119</v>
      </c>
      <c r="C1534" s="4" t="s">
        <v>3248</v>
      </c>
      <c r="D1534" s="4" t="s">
        <v>3249</v>
      </c>
      <c r="E1534" s="4">
        <v>34609492281</v>
      </c>
      <c r="F1534" s="4" t="s">
        <v>792</v>
      </c>
      <c r="G1534" s="32">
        <v>46129</v>
      </c>
      <c r="H1534" s="4" t="s">
        <v>856</v>
      </c>
      <c r="I1534" s="4" t="s">
        <v>459</v>
      </c>
      <c r="K1534" s="67" t="b">
        <v>1</v>
      </c>
      <c r="N1534" s="67" t="b">
        <v>1</v>
      </c>
      <c r="Q1534" s="67" t="b">
        <v>1</v>
      </c>
      <c r="R1534" s="8"/>
      <c r="S1534" s="8"/>
    </row>
    <row r="1535" spans="1:19" ht="12.5">
      <c r="A1535" s="4" t="s">
        <v>5</v>
      </c>
      <c r="B1535" s="4" t="s">
        <v>119</v>
      </c>
      <c r="C1535" s="4" t="s">
        <v>3250</v>
      </c>
      <c r="E1535" s="4" t="s">
        <v>3251</v>
      </c>
      <c r="F1535" s="4" t="s">
        <v>3170</v>
      </c>
      <c r="G1535" s="32">
        <v>46129</v>
      </c>
      <c r="H1535" s="9" t="s">
        <v>956</v>
      </c>
      <c r="I1535" s="4" t="s">
        <v>459</v>
      </c>
      <c r="J1535" s="4"/>
      <c r="K1535" s="67" t="b">
        <v>1</v>
      </c>
      <c r="L1535" s="4"/>
      <c r="M1535" s="4"/>
      <c r="N1535" s="67" t="b">
        <v>1</v>
      </c>
      <c r="O1535" s="4"/>
      <c r="P1535" s="4"/>
      <c r="Q1535" s="67" t="b">
        <v>1</v>
      </c>
      <c r="R1535" s="8"/>
      <c r="S1535" s="8"/>
    </row>
    <row r="1536" spans="1:19" ht="12.5">
      <c r="A1536" s="4" t="s">
        <v>5</v>
      </c>
      <c r="B1536" s="4" t="s">
        <v>119</v>
      </c>
      <c r="C1536" s="4" t="s">
        <v>3252</v>
      </c>
      <c r="E1536" s="4" t="s">
        <v>3253</v>
      </c>
      <c r="F1536" s="4" t="s">
        <v>3254</v>
      </c>
      <c r="G1536" s="32">
        <v>46129</v>
      </c>
      <c r="H1536" s="9" t="s">
        <v>956</v>
      </c>
      <c r="I1536" s="4" t="s">
        <v>459</v>
      </c>
      <c r="J1536" s="4"/>
      <c r="K1536" s="67" t="b">
        <v>1</v>
      </c>
      <c r="L1536" s="4"/>
      <c r="M1536" s="4"/>
      <c r="N1536" s="67" t="b">
        <v>1</v>
      </c>
      <c r="O1536" s="4"/>
      <c r="P1536" s="4"/>
      <c r="Q1536" s="67" t="b">
        <v>1</v>
      </c>
      <c r="R1536" s="8"/>
      <c r="S1536" s="8"/>
    </row>
    <row r="1537" spans="1:19" ht="12.5">
      <c r="A1537" s="4" t="s">
        <v>5</v>
      </c>
      <c r="B1537" s="4" t="s">
        <v>119</v>
      </c>
      <c r="C1537" s="4" t="s">
        <v>3255</v>
      </c>
      <c r="E1537" s="4" t="s">
        <v>3256</v>
      </c>
      <c r="F1537" s="4" t="s">
        <v>309</v>
      </c>
      <c r="G1537" s="32">
        <v>46129</v>
      </c>
      <c r="H1537" s="9" t="s">
        <v>956</v>
      </c>
      <c r="I1537" s="4" t="s">
        <v>459</v>
      </c>
      <c r="J1537" s="4"/>
      <c r="K1537" s="67" t="b">
        <v>1</v>
      </c>
      <c r="L1537" s="4"/>
      <c r="M1537" s="4"/>
      <c r="N1537" s="67" t="b">
        <v>1</v>
      </c>
      <c r="O1537" s="4"/>
      <c r="P1537" s="4"/>
      <c r="Q1537" s="67" t="b">
        <v>1</v>
      </c>
      <c r="R1537" s="8"/>
      <c r="S1537" s="8"/>
    </row>
    <row r="1538" spans="1:19" ht="12.5">
      <c r="A1538" s="4" t="s">
        <v>5</v>
      </c>
      <c r="B1538" s="4" t="s">
        <v>119</v>
      </c>
      <c r="C1538" s="4" t="s">
        <v>3257</v>
      </c>
      <c r="E1538" s="4" t="s">
        <v>3258</v>
      </c>
      <c r="F1538" s="4" t="s">
        <v>3259</v>
      </c>
      <c r="G1538" s="32">
        <v>46129</v>
      </c>
      <c r="H1538" s="9" t="s">
        <v>956</v>
      </c>
      <c r="I1538" s="4" t="s">
        <v>459</v>
      </c>
      <c r="J1538" s="4"/>
      <c r="K1538" s="67" t="b">
        <v>1</v>
      </c>
      <c r="L1538" s="4"/>
      <c r="M1538" s="4"/>
      <c r="N1538" s="4"/>
      <c r="O1538" s="4"/>
      <c r="P1538" s="4"/>
      <c r="Q1538" s="67" t="b">
        <v>1</v>
      </c>
      <c r="R1538" s="8"/>
      <c r="S1538" s="8"/>
    </row>
    <row r="1539" spans="1:19" ht="12.5">
      <c r="A1539" s="4" t="s">
        <v>5</v>
      </c>
      <c r="B1539" s="4" t="s">
        <v>119</v>
      </c>
      <c r="C1539" s="4" t="s">
        <v>2936</v>
      </c>
      <c r="E1539" s="4" t="s">
        <v>3260</v>
      </c>
      <c r="F1539" s="4" t="s">
        <v>2238</v>
      </c>
      <c r="G1539" s="32">
        <v>46129</v>
      </c>
      <c r="H1539" s="9" t="s">
        <v>956</v>
      </c>
      <c r="I1539" s="4" t="s">
        <v>459</v>
      </c>
      <c r="J1539" s="4"/>
      <c r="K1539" s="67" t="b">
        <v>1</v>
      </c>
      <c r="L1539" s="4"/>
      <c r="M1539" s="4"/>
      <c r="N1539" s="67" t="b">
        <v>1</v>
      </c>
      <c r="O1539" s="4"/>
      <c r="P1539" s="4"/>
      <c r="Q1539" s="67" t="b">
        <v>1</v>
      </c>
      <c r="R1539" s="8"/>
      <c r="S1539" s="8"/>
    </row>
    <row r="1540" spans="1:19" ht="12.5">
      <c r="A1540" s="4" t="s">
        <v>5</v>
      </c>
      <c r="B1540" s="4" t="s">
        <v>119</v>
      </c>
      <c r="C1540" s="4" t="s">
        <v>2936</v>
      </c>
      <c r="E1540" s="4" t="s">
        <v>3261</v>
      </c>
      <c r="F1540" s="4" t="s">
        <v>3262</v>
      </c>
      <c r="G1540" s="32">
        <v>46129</v>
      </c>
      <c r="H1540" s="9" t="s">
        <v>956</v>
      </c>
      <c r="I1540" s="4" t="s">
        <v>459</v>
      </c>
      <c r="J1540" s="4"/>
      <c r="K1540" s="67" t="b">
        <v>1</v>
      </c>
      <c r="L1540" s="4"/>
      <c r="M1540" s="4"/>
      <c r="N1540" s="67" t="b">
        <v>1</v>
      </c>
      <c r="O1540" s="4"/>
      <c r="P1540" s="4"/>
      <c r="Q1540" s="67" t="b">
        <v>1</v>
      </c>
      <c r="R1540" s="8"/>
      <c r="S1540" s="8"/>
    </row>
    <row r="1541" spans="1:19" ht="12.5">
      <c r="A1541" s="4" t="s">
        <v>381</v>
      </c>
      <c r="B1541" s="4" t="s">
        <v>119</v>
      </c>
      <c r="C1541" s="4" t="s">
        <v>3263</v>
      </c>
      <c r="D1541" s="4" t="s">
        <v>3264</v>
      </c>
      <c r="E1541" s="4">
        <v>573163544345</v>
      </c>
      <c r="F1541" s="4" t="s">
        <v>3265</v>
      </c>
      <c r="G1541" s="32">
        <v>46129</v>
      </c>
      <c r="H1541" s="4" t="s">
        <v>856</v>
      </c>
      <c r="I1541" s="4" t="s">
        <v>459</v>
      </c>
      <c r="K1541" s="67" t="b">
        <v>1</v>
      </c>
      <c r="N1541" s="67" t="b">
        <v>1</v>
      </c>
      <c r="Q1541" s="67" t="b">
        <v>1</v>
      </c>
      <c r="R1541" s="8"/>
      <c r="S1541" s="8"/>
    </row>
    <row r="1542" spans="1:19" ht="12.5">
      <c r="A1542" s="4" t="s">
        <v>5</v>
      </c>
      <c r="B1542" s="4" t="s">
        <v>119</v>
      </c>
      <c r="C1542" s="4" t="s">
        <v>3266</v>
      </c>
      <c r="D1542" s="4" t="s">
        <v>3267</v>
      </c>
      <c r="E1542" s="4">
        <v>56998181257</v>
      </c>
      <c r="F1542" s="4" t="s">
        <v>3079</v>
      </c>
      <c r="G1542" s="32">
        <v>46129</v>
      </c>
      <c r="H1542" s="4" t="s">
        <v>856</v>
      </c>
      <c r="I1542" s="4" t="s">
        <v>459</v>
      </c>
      <c r="K1542" s="67" t="b">
        <v>1</v>
      </c>
      <c r="N1542" s="67" t="b">
        <v>1</v>
      </c>
      <c r="Q1542" s="67" t="b">
        <v>1</v>
      </c>
      <c r="R1542" s="8"/>
      <c r="S1542" s="8"/>
    </row>
    <row r="1543" spans="1:19" ht="12.5">
      <c r="A1543" s="4" t="s">
        <v>381</v>
      </c>
      <c r="B1543" s="4" t="s">
        <v>119</v>
      </c>
      <c r="C1543" s="4" t="s">
        <v>3268</v>
      </c>
      <c r="D1543" s="4" t="s">
        <v>3269</v>
      </c>
      <c r="E1543" s="4">
        <v>542915044875</v>
      </c>
      <c r="F1543" s="4" t="s">
        <v>2841</v>
      </c>
      <c r="G1543" s="32">
        <v>46129</v>
      </c>
      <c r="H1543" s="4" t="s">
        <v>856</v>
      </c>
      <c r="I1543" s="4" t="s">
        <v>459</v>
      </c>
      <c r="K1543" s="67" t="b">
        <v>1</v>
      </c>
      <c r="N1543" s="67" t="b">
        <v>1</v>
      </c>
      <c r="Q1543" s="67" t="b">
        <v>1</v>
      </c>
      <c r="R1543" s="8"/>
      <c r="S1543" s="8"/>
    </row>
    <row r="1544" spans="1:19" ht="12.5">
      <c r="A1544" s="4" t="s">
        <v>381</v>
      </c>
      <c r="B1544" s="4" t="s">
        <v>119</v>
      </c>
      <c r="C1544" s="4" t="s">
        <v>3270</v>
      </c>
      <c r="D1544" s="4" t="s">
        <v>2410</v>
      </c>
      <c r="E1544" s="4">
        <v>595982588064</v>
      </c>
      <c r="F1544" s="4" t="s">
        <v>3271</v>
      </c>
      <c r="G1544" s="32">
        <v>46130</v>
      </c>
      <c r="H1544" s="4" t="s">
        <v>856</v>
      </c>
      <c r="I1544" s="4" t="s">
        <v>459</v>
      </c>
      <c r="J1544" s="68" t="b">
        <v>1</v>
      </c>
      <c r="K1544" s="67" t="b">
        <v>1</v>
      </c>
      <c r="N1544" s="67" t="b">
        <v>1</v>
      </c>
      <c r="Q1544" s="67" t="b">
        <v>1</v>
      </c>
      <c r="R1544" s="8"/>
      <c r="S1544" s="8"/>
    </row>
    <row r="1545" spans="1:19" ht="12.5">
      <c r="A1545" s="4" t="s">
        <v>381</v>
      </c>
      <c r="B1545" s="4" t="s">
        <v>119</v>
      </c>
      <c r="C1545" s="4" t="s">
        <v>3272</v>
      </c>
      <c r="D1545" s="4" t="s">
        <v>3273</v>
      </c>
      <c r="E1545" s="4">
        <v>543813013662</v>
      </c>
      <c r="F1545" s="4" t="s">
        <v>2268</v>
      </c>
      <c r="G1545" s="32">
        <v>46130</v>
      </c>
      <c r="H1545" s="4" t="s">
        <v>856</v>
      </c>
      <c r="I1545" s="4" t="s">
        <v>459</v>
      </c>
      <c r="J1545" s="68" t="b">
        <v>1</v>
      </c>
      <c r="K1545" s="67" t="b">
        <v>1</v>
      </c>
      <c r="N1545" s="67" t="b">
        <v>1</v>
      </c>
      <c r="Q1545" s="67" t="b">
        <v>1</v>
      </c>
      <c r="R1545" s="8"/>
      <c r="S1545" s="8"/>
    </row>
    <row r="1546" spans="1:19" ht="12.5">
      <c r="A1546" s="4" t="s">
        <v>5</v>
      </c>
      <c r="B1546" s="4" t="s">
        <v>119</v>
      </c>
      <c r="C1546" s="4" t="s">
        <v>3274</v>
      </c>
      <c r="D1546" s="4" t="s">
        <v>3275</v>
      </c>
      <c r="E1546" s="4">
        <v>50671832054</v>
      </c>
      <c r="F1546" s="4" t="s">
        <v>27</v>
      </c>
      <c r="G1546" s="32">
        <v>46131</v>
      </c>
      <c r="H1546" s="4" t="s">
        <v>856</v>
      </c>
      <c r="I1546" s="4" t="s">
        <v>459</v>
      </c>
      <c r="J1546" s="68" t="b">
        <v>1</v>
      </c>
      <c r="K1546" s="67" t="b">
        <v>1</v>
      </c>
      <c r="N1546" s="67" t="b">
        <v>1</v>
      </c>
      <c r="Q1546" s="67" t="b">
        <v>1</v>
      </c>
      <c r="R1546" s="8"/>
      <c r="S1546" s="8"/>
    </row>
    <row r="1547" spans="1:19" ht="12.5">
      <c r="A1547" s="4" t="s">
        <v>5</v>
      </c>
      <c r="B1547" s="4" t="s">
        <v>119</v>
      </c>
      <c r="C1547" s="4" t="s">
        <v>3276</v>
      </c>
      <c r="D1547" s="4" t="s">
        <v>3277</v>
      </c>
      <c r="E1547" s="4">
        <v>34615177853</v>
      </c>
      <c r="F1547" s="4" t="s">
        <v>91</v>
      </c>
      <c r="G1547" s="32">
        <v>46131</v>
      </c>
      <c r="H1547" s="4" t="s">
        <v>856</v>
      </c>
      <c r="I1547" s="4" t="s">
        <v>886</v>
      </c>
      <c r="J1547" s="68" t="b">
        <v>1</v>
      </c>
      <c r="K1547" s="67" t="b">
        <v>1</v>
      </c>
      <c r="N1547" s="67" t="b">
        <v>1</v>
      </c>
      <c r="Q1547" s="67" t="b">
        <v>1</v>
      </c>
      <c r="R1547" s="8"/>
      <c r="S1547" s="8"/>
    </row>
    <row r="1548" spans="1:19" ht="12.5">
      <c r="A1548" s="4" t="s">
        <v>5</v>
      </c>
      <c r="B1548" s="4" t="s">
        <v>119</v>
      </c>
      <c r="C1548" s="4" t="s">
        <v>3278</v>
      </c>
      <c r="D1548" s="4" t="s">
        <v>3279</v>
      </c>
      <c r="E1548" s="4">
        <v>573208797449</v>
      </c>
      <c r="F1548" s="4" t="s">
        <v>3104</v>
      </c>
      <c r="G1548" s="32">
        <v>46131</v>
      </c>
      <c r="H1548" s="4" t="s">
        <v>856</v>
      </c>
      <c r="I1548" s="4" t="s">
        <v>459</v>
      </c>
      <c r="J1548" s="68" t="b">
        <v>1</v>
      </c>
      <c r="K1548" s="67" t="b">
        <v>1</v>
      </c>
      <c r="N1548" s="67" t="b">
        <v>1</v>
      </c>
      <c r="Q1548" s="67" t="b">
        <v>1</v>
      </c>
      <c r="R1548" s="8"/>
      <c r="S1548" s="8"/>
    </row>
    <row r="1549" spans="1:19" ht="12.5">
      <c r="A1549" s="4" t="s">
        <v>5</v>
      </c>
      <c r="B1549" s="4" t="s">
        <v>119</v>
      </c>
      <c r="C1549" s="4" t="s">
        <v>3280</v>
      </c>
      <c r="D1549" s="4" t="s">
        <v>3281</v>
      </c>
      <c r="E1549" s="4">
        <v>528641261025</v>
      </c>
      <c r="F1549" s="4" t="s">
        <v>3282</v>
      </c>
      <c r="G1549" s="32">
        <v>46132</v>
      </c>
      <c r="H1549" s="4" t="s">
        <v>856</v>
      </c>
      <c r="I1549" s="4" t="s">
        <v>459</v>
      </c>
      <c r="K1549" s="67" t="b">
        <v>1</v>
      </c>
      <c r="N1549" s="67" t="b">
        <v>1</v>
      </c>
      <c r="Q1549" s="67" t="b">
        <v>1</v>
      </c>
      <c r="R1549" s="8"/>
      <c r="S1549" s="8"/>
    </row>
    <row r="1550" spans="1:19" ht="12.5">
      <c r="A1550" s="4" t="s">
        <v>381</v>
      </c>
      <c r="B1550" s="4" t="s">
        <v>119</v>
      </c>
      <c r="C1550" s="4" t="s">
        <v>3283</v>
      </c>
      <c r="D1550" s="4" t="s">
        <v>3284</v>
      </c>
      <c r="E1550" s="4">
        <v>56998880649</v>
      </c>
      <c r="F1550" s="4" t="s">
        <v>1607</v>
      </c>
      <c r="G1550" s="32">
        <v>46132</v>
      </c>
      <c r="H1550" s="4" t="s">
        <v>856</v>
      </c>
      <c r="I1550" s="4" t="s">
        <v>459</v>
      </c>
      <c r="K1550" s="67" t="b">
        <v>1</v>
      </c>
      <c r="N1550" s="67" t="b">
        <v>1</v>
      </c>
      <c r="Q1550" s="67" t="b">
        <v>1</v>
      </c>
      <c r="R1550" s="8"/>
      <c r="S1550" s="8"/>
    </row>
    <row r="1551" spans="1:19" ht="12.5">
      <c r="A1551" s="4" t="s">
        <v>5</v>
      </c>
      <c r="B1551" s="4" t="s">
        <v>119</v>
      </c>
      <c r="C1551" s="4" t="s">
        <v>3285</v>
      </c>
      <c r="D1551" s="4" t="s">
        <v>3286</v>
      </c>
      <c r="E1551" s="4">
        <v>552223559047</v>
      </c>
      <c r="F1551" s="4" t="s">
        <v>3090</v>
      </c>
      <c r="G1551" s="32">
        <v>46132</v>
      </c>
      <c r="H1551" s="4" t="s">
        <v>856</v>
      </c>
      <c r="I1551" s="4" t="s">
        <v>459</v>
      </c>
      <c r="K1551" s="67"/>
      <c r="L1551" s="68" t="b">
        <v>1</v>
      </c>
      <c r="R1551" s="8"/>
      <c r="S1551" s="8"/>
    </row>
    <row r="1552" spans="1:19" ht="12.5">
      <c r="B1552" s="4" t="s">
        <v>119</v>
      </c>
      <c r="E1552" s="4" t="s">
        <v>3287</v>
      </c>
      <c r="F1552" s="4" t="s">
        <v>2951</v>
      </c>
      <c r="G1552" s="32">
        <v>46132</v>
      </c>
      <c r="H1552" s="9" t="s">
        <v>956</v>
      </c>
      <c r="I1552" s="4" t="s">
        <v>459</v>
      </c>
      <c r="J1552" s="4"/>
      <c r="K1552" s="67" t="b">
        <v>1</v>
      </c>
      <c r="L1552" s="4"/>
      <c r="M1552" s="4"/>
      <c r="N1552" s="67" t="b">
        <v>1</v>
      </c>
      <c r="O1552" s="4"/>
      <c r="P1552" s="4"/>
      <c r="Q1552" s="67" t="b">
        <v>1</v>
      </c>
      <c r="R1552" s="8"/>
      <c r="S1552" s="8"/>
    </row>
    <row r="1553" spans="1:19" ht="12.5">
      <c r="A1553" s="4" t="s">
        <v>5</v>
      </c>
      <c r="B1553" s="4" t="s">
        <v>119</v>
      </c>
      <c r="C1553" s="4" t="s">
        <v>3288</v>
      </c>
      <c r="D1553" s="4" t="s">
        <v>3289</v>
      </c>
      <c r="E1553" s="4">
        <v>34669610973</v>
      </c>
      <c r="F1553" s="4" t="s">
        <v>332</v>
      </c>
      <c r="G1553" s="32">
        <v>46132</v>
      </c>
      <c r="H1553" s="4" t="s">
        <v>856</v>
      </c>
      <c r="I1553" s="4" t="s">
        <v>459</v>
      </c>
      <c r="K1553" s="67" t="b">
        <v>1</v>
      </c>
      <c r="N1553" s="67" t="b">
        <v>1</v>
      </c>
      <c r="Q1553" s="67" t="b">
        <v>1</v>
      </c>
      <c r="R1553" s="8"/>
      <c r="S1553" s="8"/>
    </row>
    <row r="1554" spans="1:19" ht="12.5">
      <c r="A1554" s="4" t="s">
        <v>5</v>
      </c>
      <c r="B1554" s="4" t="s">
        <v>119</v>
      </c>
      <c r="C1554" s="4" t="s">
        <v>2936</v>
      </c>
      <c r="E1554" s="4" t="s">
        <v>3290</v>
      </c>
      <c r="F1554" s="4" t="s">
        <v>3291</v>
      </c>
      <c r="G1554" s="32">
        <v>46132</v>
      </c>
      <c r="I1554" s="4" t="s">
        <v>459</v>
      </c>
      <c r="J1554" s="4"/>
      <c r="K1554" s="67" t="b">
        <v>1</v>
      </c>
      <c r="L1554" s="4"/>
      <c r="M1554" s="4"/>
      <c r="N1554" s="67" t="b">
        <v>1</v>
      </c>
      <c r="O1554" s="4"/>
      <c r="P1554" s="4"/>
      <c r="Q1554" s="67" t="b">
        <v>1</v>
      </c>
      <c r="R1554" s="8"/>
      <c r="S1554" s="8"/>
    </row>
    <row r="1555" spans="1:19" ht="12.5">
      <c r="A1555" s="4" t="s">
        <v>5</v>
      </c>
      <c r="B1555" s="4" t="s">
        <v>119</v>
      </c>
      <c r="C1555" s="4" t="s">
        <v>3292</v>
      </c>
      <c r="E1555" s="4" t="s">
        <v>3293</v>
      </c>
      <c r="F1555" s="55" t="s">
        <v>102</v>
      </c>
      <c r="G1555" s="32">
        <v>46132</v>
      </c>
      <c r="I1555" s="4" t="s">
        <v>459</v>
      </c>
      <c r="J1555" s="4"/>
      <c r="K1555" s="67" t="b">
        <v>1</v>
      </c>
      <c r="L1555" s="4"/>
      <c r="M1555" s="4"/>
      <c r="N1555" s="67" t="b">
        <v>1</v>
      </c>
      <c r="O1555" s="4"/>
      <c r="P1555" s="4"/>
      <c r="Q1555" s="67" t="b">
        <v>1</v>
      </c>
      <c r="R1555" s="8"/>
      <c r="S1555" s="8"/>
    </row>
    <row r="1556" spans="1:19" ht="12.5">
      <c r="A1556" s="4" t="s">
        <v>5</v>
      </c>
      <c r="B1556" s="4" t="s">
        <v>119</v>
      </c>
      <c r="C1556" s="4" t="s">
        <v>3294</v>
      </c>
      <c r="D1556" s="4" t="s">
        <v>3295</v>
      </c>
      <c r="E1556" s="4">
        <v>34657552506</v>
      </c>
      <c r="F1556" s="55" t="s">
        <v>172</v>
      </c>
      <c r="G1556" s="32">
        <v>46132</v>
      </c>
      <c r="H1556" s="4" t="s">
        <v>856</v>
      </c>
      <c r="I1556" s="4" t="s">
        <v>459</v>
      </c>
      <c r="J1556" s="68" t="b">
        <v>1</v>
      </c>
      <c r="K1556" s="67" t="b">
        <v>1</v>
      </c>
      <c r="N1556" s="67" t="b">
        <v>1</v>
      </c>
      <c r="Q1556" s="67" t="b">
        <v>1</v>
      </c>
      <c r="R1556" s="8"/>
      <c r="S1556" s="8"/>
    </row>
    <row r="1557" spans="1:19" ht="12.5">
      <c r="A1557" s="4" t="s">
        <v>5</v>
      </c>
      <c r="B1557" s="4" t="s">
        <v>119</v>
      </c>
      <c r="C1557" s="4" t="s">
        <v>3296</v>
      </c>
      <c r="D1557" s="4" t="s">
        <v>3297</v>
      </c>
      <c r="E1557" s="4">
        <v>50670049828</v>
      </c>
      <c r="F1557" s="55" t="s">
        <v>3298</v>
      </c>
      <c r="G1557" s="32">
        <v>46132</v>
      </c>
      <c r="H1557" s="4" t="s">
        <v>856</v>
      </c>
      <c r="I1557" s="4" t="s">
        <v>459</v>
      </c>
      <c r="J1557" s="68" t="b">
        <v>1</v>
      </c>
      <c r="K1557" s="67" t="b">
        <v>1</v>
      </c>
      <c r="N1557" s="67" t="b">
        <v>1</v>
      </c>
      <c r="Q1557" s="67" t="b">
        <v>1</v>
      </c>
      <c r="R1557" s="8"/>
      <c r="S1557" s="8"/>
    </row>
    <row r="1558" spans="1:19" ht="12.5">
      <c r="A1558" s="4" t="s">
        <v>5</v>
      </c>
      <c r="B1558" s="4" t="s">
        <v>119</v>
      </c>
      <c r="C1558" s="4" t="s">
        <v>3299</v>
      </c>
      <c r="D1558" s="4" t="s">
        <v>3300</v>
      </c>
      <c r="E1558" s="4">
        <v>5930999977852</v>
      </c>
      <c r="F1558" s="55" t="s">
        <v>3301</v>
      </c>
      <c r="G1558" s="32">
        <v>46132</v>
      </c>
      <c r="H1558" s="4" t="s">
        <v>856</v>
      </c>
      <c r="I1558" s="4" t="s">
        <v>459</v>
      </c>
      <c r="J1558" s="68" t="b">
        <v>0</v>
      </c>
      <c r="K1558" s="67" t="b">
        <v>1</v>
      </c>
      <c r="N1558" s="67" t="b">
        <v>1</v>
      </c>
      <c r="Q1558" s="67" t="b">
        <v>1</v>
      </c>
      <c r="R1558" s="8"/>
      <c r="S1558" s="8"/>
    </row>
    <row r="1559" spans="1:19" ht="12.5">
      <c r="A1559" s="4" t="s">
        <v>5</v>
      </c>
      <c r="B1559" s="4" t="s">
        <v>119</v>
      </c>
      <c r="C1559" s="4" t="s">
        <v>2936</v>
      </c>
      <c r="E1559" s="4" t="s">
        <v>3302</v>
      </c>
      <c r="F1559" s="4" t="s">
        <v>1152</v>
      </c>
      <c r="I1559" s="4" t="s">
        <v>1097</v>
      </c>
      <c r="J1559" s="4"/>
      <c r="K1559" s="67" t="b">
        <v>1</v>
      </c>
      <c r="L1559" s="4"/>
      <c r="M1559" s="4"/>
      <c r="N1559" s="67" t="b">
        <v>1</v>
      </c>
      <c r="O1559" s="4"/>
      <c r="P1559" s="4"/>
      <c r="Q1559" s="4"/>
      <c r="R1559" s="8"/>
      <c r="S1559" s="8"/>
    </row>
    <row r="1560" spans="1:19" ht="12.5">
      <c r="A1560" s="4" t="s">
        <v>381</v>
      </c>
      <c r="B1560" s="4" t="s">
        <v>119</v>
      </c>
      <c r="C1560" s="4" t="s">
        <v>3303</v>
      </c>
      <c r="D1560" s="4" t="s">
        <v>3304</v>
      </c>
      <c r="E1560" s="4">
        <v>17874723822</v>
      </c>
      <c r="F1560" s="4" t="s">
        <v>3305</v>
      </c>
      <c r="G1560" s="32">
        <v>46133</v>
      </c>
      <c r="H1560" s="4" t="s">
        <v>856</v>
      </c>
      <c r="I1560" s="4" t="s">
        <v>459</v>
      </c>
      <c r="K1560" s="67" t="b">
        <v>1</v>
      </c>
      <c r="N1560" s="67" t="b">
        <v>1</v>
      </c>
      <c r="Q1560" s="67" t="b">
        <v>1</v>
      </c>
      <c r="R1560" s="8"/>
      <c r="S1560" s="8"/>
    </row>
    <row r="1561" spans="1:19" ht="12.5">
      <c r="A1561" s="4" t="s">
        <v>5</v>
      </c>
      <c r="B1561" s="4" t="s">
        <v>119</v>
      </c>
      <c r="C1561" s="4" t="s">
        <v>3306</v>
      </c>
      <c r="D1561" s="4" t="s">
        <v>3307</v>
      </c>
      <c r="E1561" s="4">
        <v>542994640452</v>
      </c>
      <c r="F1561" s="4" t="s">
        <v>3308</v>
      </c>
      <c r="G1561" s="32">
        <v>46133</v>
      </c>
      <c r="H1561" s="4" t="s">
        <v>856</v>
      </c>
      <c r="I1561" s="4" t="s">
        <v>459</v>
      </c>
      <c r="K1561" s="67" t="b">
        <v>1</v>
      </c>
      <c r="N1561" s="67" t="b">
        <v>1</v>
      </c>
      <c r="Q1561" s="67" t="b">
        <v>1</v>
      </c>
      <c r="R1561" s="8"/>
      <c r="S1561" s="8"/>
    </row>
    <row r="1562" spans="1:19" ht="12.5">
      <c r="A1562" s="4" t="s">
        <v>5</v>
      </c>
      <c r="B1562" s="4" t="s">
        <v>119</v>
      </c>
      <c r="C1562" s="4" t="s">
        <v>3309</v>
      </c>
      <c r="D1562" s="4" t="s">
        <v>3310</v>
      </c>
      <c r="E1562" s="4">
        <v>34687169804</v>
      </c>
      <c r="F1562" s="4" t="s">
        <v>3311</v>
      </c>
      <c r="G1562" s="32">
        <v>46133</v>
      </c>
      <c r="H1562" s="4" t="s">
        <v>856</v>
      </c>
      <c r="I1562" s="4" t="s">
        <v>459</v>
      </c>
      <c r="K1562" s="67" t="b">
        <v>1</v>
      </c>
      <c r="N1562" s="67" t="b">
        <v>1</v>
      </c>
      <c r="Q1562" s="67" t="b">
        <v>1</v>
      </c>
      <c r="R1562" s="8"/>
      <c r="S1562" s="8"/>
    </row>
    <row r="1563" spans="1:19" ht="12.5">
      <c r="A1563" s="4" t="s">
        <v>5</v>
      </c>
      <c r="B1563" s="4" t="s">
        <v>119</v>
      </c>
      <c r="C1563" s="4" t="s">
        <v>3312</v>
      </c>
      <c r="D1563" s="4" t="s">
        <v>3313</v>
      </c>
      <c r="E1563" s="4">
        <v>34697782730</v>
      </c>
      <c r="F1563" s="4" t="s">
        <v>388</v>
      </c>
      <c r="G1563" s="32">
        <v>46134</v>
      </c>
      <c r="H1563" s="4" t="s">
        <v>856</v>
      </c>
      <c r="I1563" s="4" t="s">
        <v>459</v>
      </c>
      <c r="J1563" s="68" t="b">
        <v>1</v>
      </c>
      <c r="K1563" s="67" t="b">
        <v>1</v>
      </c>
      <c r="N1563" s="67" t="b">
        <v>1</v>
      </c>
      <c r="R1563" s="8"/>
      <c r="S1563" s="8"/>
    </row>
    <row r="1564" spans="1:19" ht="12.5">
      <c r="A1564" s="4" t="s">
        <v>5</v>
      </c>
      <c r="B1564" s="4" t="s">
        <v>119</v>
      </c>
      <c r="C1564" s="4" t="s">
        <v>3314</v>
      </c>
      <c r="D1564" s="4" t="s">
        <v>3315</v>
      </c>
      <c r="E1564" s="4">
        <v>34609829538</v>
      </c>
      <c r="F1564" s="4" t="s">
        <v>3316</v>
      </c>
      <c r="G1564" s="32">
        <v>46134</v>
      </c>
      <c r="H1564" s="4" t="s">
        <v>856</v>
      </c>
      <c r="I1564" s="4" t="s">
        <v>886</v>
      </c>
      <c r="J1564" s="68" t="b">
        <v>1</v>
      </c>
      <c r="K1564" s="67" t="b">
        <v>1</v>
      </c>
      <c r="N1564" s="67" t="b">
        <v>1</v>
      </c>
      <c r="Q1564" s="67"/>
      <c r="R1564" s="8"/>
      <c r="S1564" s="8"/>
    </row>
    <row r="1565" spans="1:19" ht="12.5">
      <c r="A1565" s="4" t="s">
        <v>5</v>
      </c>
      <c r="B1565" s="4" t="s">
        <v>119</v>
      </c>
      <c r="C1565" s="4" t="s">
        <v>3317</v>
      </c>
      <c r="D1565" s="4" t="s">
        <v>3318</v>
      </c>
      <c r="E1565" s="4">
        <v>56982745376</v>
      </c>
      <c r="F1565" s="4" t="s">
        <v>2238</v>
      </c>
      <c r="G1565" s="32">
        <v>46134</v>
      </c>
      <c r="H1565" s="4" t="s">
        <v>856</v>
      </c>
      <c r="I1565" s="4" t="s">
        <v>459</v>
      </c>
      <c r="K1565" s="67" t="b">
        <v>1</v>
      </c>
      <c r="N1565" s="67" t="b">
        <v>1</v>
      </c>
      <c r="Q1565" s="67" t="b">
        <v>1</v>
      </c>
      <c r="R1565" s="8"/>
      <c r="S1565" s="8"/>
    </row>
    <row r="1566" spans="1:19" ht="12.5">
      <c r="A1566" s="4" t="s">
        <v>5</v>
      </c>
      <c r="B1566" s="4" t="s">
        <v>119</v>
      </c>
      <c r="C1566" s="4" t="s">
        <v>3319</v>
      </c>
      <c r="D1566" s="4" t="s">
        <v>3320</v>
      </c>
      <c r="E1566" s="4">
        <v>34631399914</v>
      </c>
      <c r="F1566" s="4" t="s">
        <v>52</v>
      </c>
      <c r="G1566" s="32">
        <v>46134</v>
      </c>
      <c r="H1566" s="4" t="s">
        <v>856</v>
      </c>
      <c r="I1566" s="4" t="s">
        <v>459</v>
      </c>
      <c r="J1566" s="68" t="b">
        <v>1</v>
      </c>
      <c r="K1566" s="67" t="b">
        <v>1</v>
      </c>
      <c r="N1566" s="67" t="b">
        <v>1</v>
      </c>
      <c r="R1566" s="8"/>
      <c r="S1566" s="8"/>
    </row>
    <row r="1567" spans="1:19" ht="12.5">
      <c r="A1567" s="4" t="s">
        <v>5</v>
      </c>
      <c r="B1567" s="4" t="s">
        <v>119</v>
      </c>
      <c r="C1567" s="4" t="s">
        <v>3321</v>
      </c>
      <c r="D1567" s="4" t="s">
        <v>3322</v>
      </c>
      <c r="E1567" s="4">
        <v>573155330337</v>
      </c>
      <c r="F1567" s="4" t="s">
        <v>2238</v>
      </c>
      <c r="G1567" s="32">
        <v>46135</v>
      </c>
      <c r="H1567" s="4" t="s">
        <v>856</v>
      </c>
      <c r="I1567" s="4" t="s">
        <v>459</v>
      </c>
      <c r="J1567" s="68" t="b">
        <v>1</v>
      </c>
      <c r="K1567" s="67" t="b">
        <v>1</v>
      </c>
      <c r="N1567" s="67" t="b">
        <v>1</v>
      </c>
      <c r="Q1567" s="67" t="b">
        <v>1</v>
      </c>
      <c r="R1567" s="8"/>
      <c r="S1567" s="8"/>
    </row>
    <row r="1568" spans="1:19" ht="12.5">
      <c r="A1568" s="4" t="s">
        <v>5</v>
      </c>
      <c r="B1568" s="4" t="s">
        <v>119</v>
      </c>
      <c r="C1568" s="4" t="s">
        <v>2936</v>
      </c>
      <c r="E1568" s="4" t="s">
        <v>3323</v>
      </c>
      <c r="F1568" s="4" t="s">
        <v>2238</v>
      </c>
      <c r="G1568" s="32">
        <v>46135</v>
      </c>
      <c r="I1568" s="4" t="s">
        <v>459</v>
      </c>
      <c r="J1568" s="68" t="b">
        <v>1</v>
      </c>
      <c r="K1568" s="67" t="b">
        <v>1</v>
      </c>
      <c r="L1568" s="4"/>
      <c r="M1568" s="4"/>
      <c r="N1568" s="67" t="b">
        <v>1</v>
      </c>
      <c r="O1568" s="4"/>
      <c r="P1568" s="4"/>
      <c r="Q1568" s="67" t="b">
        <v>1</v>
      </c>
      <c r="R1568" s="8"/>
      <c r="S1568" s="8"/>
    </row>
    <row r="1569" spans="1:25" ht="12.5">
      <c r="A1569" s="4" t="s">
        <v>5</v>
      </c>
      <c r="B1569" s="4" t="s">
        <v>119</v>
      </c>
      <c r="C1569" s="4" t="s">
        <v>399</v>
      </c>
      <c r="D1569" s="4" t="s">
        <v>400</v>
      </c>
      <c r="E1569" s="4">
        <v>34677802238</v>
      </c>
      <c r="F1569" s="4" t="s">
        <v>401</v>
      </c>
      <c r="G1569" s="32">
        <v>46135</v>
      </c>
      <c r="H1569" s="4" t="s">
        <v>856</v>
      </c>
      <c r="I1569" s="4" t="s">
        <v>448</v>
      </c>
      <c r="J1569" s="68" t="b">
        <v>0</v>
      </c>
      <c r="K1569" s="67" t="b">
        <v>1</v>
      </c>
      <c r="N1569" s="67" t="b">
        <v>1</v>
      </c>
      <c r="Q1569" s="67" t="b">
        <v>1</v>
      </c>
      <c r="R1569" s="8"/>
      <c r="S1569" s="4" t="s">
        <v>119</v>
      </c>
      <c r="T1569" s="33">
        <v>46140</v>
      </c>
      <c r="U1569" s="6">
        <v>557.5</v>
      </c>
      <c r="V1569" s="7">
        <v>0.3</v>
      </c>
      <c r="W1569" s="4">
        <v>1</v>
      </c>
      <c r="X1569" s="8">
        <v>46023</v>
      </c>
    </row>
    <row r="1570" spans="1:25" ht="12.5">
      <c r="A1570" s="4" t="s">
        <v>5</v>
      </c>
      <c r="B1570" s="4" t="s">
        <v>119</v>
      </c>
      <c r="C1570" s="4" t="s">
        <v>3324</v>
      </c>
      <c r="D1570" s="4" t="s">
        <v>3325</v>
      </c>
      <c r="E1570" s="4">
        <v>5520804769</v>
      </c>
      <c r="F1570" s="4" t="s">
        <v>388</v>
      </c>
      <c r="G1570" s="32">
        <v>46135</v>
      </c>
      <c r="H1570" s="4" t="s">
        <v>856</v>
      </c>
      <c r="I1570" s="4" t="s">
        <v>459</v>
      </c>
      <c r="J1570" s="68" t="b">
        <v>0</v>
      </c>
      <c r="K1570" s="67" t="b">
        <v>1</v>
      </c>
      <c r="N1570" s="67" t="b">
        <v>1</v>
      </c>
      <c r="Q1570" s="67" t="b">
        <v>1</v>
      </c>
      <c r="R1570" s="8"/>
      <c r="S1570" s="8"/>
    </row>
    <row r="1571" spans="1:25" ht="12.5">
      <c r="A1571" s="4" t="s">
        <v>381</v>
      </c>
      <c r="B1571" s="4" t="s">
        <v>119</v>
      </c>
      <c r="C1571" s="4" t="s">
        <v>3326</v>
      </c>
      <c r="D1571" s="4" t="s">
        <v>3327</v>
      </c>
      <c r="E1571" s="4">
        <v>573185137137</v>
      </c>
      <c r="F1571" s="4" t="s">
        <v>3328</v>
      </c>
      <c r="G1571" s="32">
        <v>46135</v>
      </c>
      <c r="H1571" s="4" t="s">
        <v>856</v>
      </c>
      <c r="I1571" s="4" t="s">
        <v>459</v>
      </c>
      <c r="J1571" s="68" t="b">
        <v>0</v>
      </c>
      <c r="K1571" s="67" t="b">
        <v>1</v>
      </c>
      <c r="R1571" s="8"/>
      <c r="S1571" s="8"/>
    </row>
    <row r="1572" spans="1:25" ht="12.5">
      <c r="A1572" s="4" t="s">
        <v>5</v>
      </c>
      <c r="B1572" s="4" t="s">
        <v>119</v>
      </c>
      <c r="C1572" s="4" t="s">
        <v>3329</v>
      </c>
      <c r="D1572" s="4" t="s">
        <v>3330</v>
      </c>
      <c r="E1572" s="4">
        <v>34640202003</v>
      </c>
      <c r="F1572" s="4" t="s">
        <v>3331</v>
      </c>
      <c r="G1572" s="32">
        <v>46135</v>
      </c>
      <c r="H1572" s="4" t="s">
        <v>856</v>
      </c>
      <c r="I1572" s="4" t="s">
        <v>459</v>
      </c>
      <c r="J1572" s="68" t="b">
        <v>1</v>
      </c>
      <c r="K1572" s="67" t="b">
        <v>1</v>
      </c>
      <c r="N1572" s="67" t="b">
        <v>1</v>
      </c>
      <c r="Q1572" s="67" t="b">
        <v>1</v>
      </c>
      <c r="R1572" s="8"/>
      <c r="S1572" s="8"/>
    </row>
    <row r="1573" spans="1:25" ht="12.5">
      <c r="A1573" s="4" t="s">
        <v>240</v>
      </c>
      <c r="B1573" s="4" t="s">
        <v>119</v>
      </c>
      <c r="C1573" s="4" t="s">
        <v>3332</v>
      </c>
      <c r="E1573" s="4" t="s">
        <v>3333</v>
      </c>
      <c r="F1573" s="4" t="s">
        <v>3334</v>
      </c>
      <c r="G1573" s="32">
        <v>46136</v>
      </c>
      <c r="H1573" s="4" t="s">
        <v>856</v>
      </c>
      <c r="I1573" s="4" t="s">
        <v>1097</v>
      </c>
      <c r="J1573" s="4"/>
      <c r="K1573" s="67" t="b">
        <v>1</v>
      </c>
      <c r="L1573" s="4"/>
      <c r="M1573" s="4"/>
      <c r="N1573" s="4"/>
      <c r="O1573" s="4"/>
      <c r="P1573" s="4"/>
      <c r="Q1573" s="4"/>
      <c r="R1573" s="8"/>
      <c r="S1573" s="8"/>
    </row>
    <row r="1574" spans="1:25" ht="12.5">
      <c r="A1574" s="4" t="s">
        <v>5</v>
      </c>
      <c r="B1574" s="4" t="s">
        <v>398</v>
      </c>
      <c r="C1574" s="4" t="s">
        <v>3335</v>
      </c>
      <c r="D1574" s="4" t="s">
        <v>3336</v>
      </c>
      <c r="E1574" s="4">
        <v>45567567567</v>
      </c>
      <c r="F1574" s="4" t="s">
        <v>8</v>
      </c>
      <c r="G1574" s="32">
        <v>46136</v>
      </c>
      <c r="H1574" s="4" t="s">
        <v>856</v>
      </c>
      <c r="I1574" s="4" t="s">
        <v>1431</v>
      </c>
      <c r="R1574" s="8"/>
      <c r="S1574" s="8"/>
    </row>
    <row r="1575" spans="1:25" ht="12.5">
      <c r="A1575" s="4" t="s">
        <v>5</v>
      </c>
      <c r="B1575" s="4" t="s">
        <v>398</v>
      </c>
      <c r="C1575" s="4" t="s">
        <v>3337</v>
      </c>
      <c r="D1575" s="4" t="s">
        <v>3338</v>
      </c>
      <c r="E1575" s="4">
        <v>529861138519</v>
      </c>
      <c r="F1575" s="4" t="s">
        <v>1233</v>
      </c>
      <c r="G1575" s="32">
        <v>46136</v>
      </c>
      <c r="H1575" s="4" t="s">
        <v>856</v>
      </c>
      <c r="I1575" s="4" t="s">
        <v>941</v>
      </c>
      <c r="J1575" s="68" t="b">
        <v>1</v>
      </c>
      <c r="K1575" s="67" t="b">
        <v>1</v>
      </c>
      <c r="R1575" s="8"/>
      <c r="S1575" s="8"/>
    </row>
    <row r="1576" spans="1:25" ht="12.5">
      <c r="A1576" s="4" t="s">
        <v>5</v>
      </c>
      <c r="B1576" s="4" t="s">
        <v>398</v>
      </c>
      <c r="C1576" s="4" t="s">
        <v>3339</v>
      </c>
      <c r="D1576" s="4" t="s">
        <v>3340</v>
      </c>
      <c r="E1576" s="4">
        <v>59171347050</v>
      </c>
      <c r="F1576" s="4" t="s">
        <v>3341</v>
      </c>
      <c r="G1576" s="32">
        <v>46137</v>
      </c>
      <c r="H1576" s="4" t="s">
        <v>856</v>
      </c>
      <c r="I1576" s="4" t="s">
        <v>459</v>
      </c>
      <c r="J1576" s="68" t="b">
        <v>1</v>
      </c>
      <c r="K1576" s="67" t="b">
        <v>1</v>
      </c>
      <c r="R1576" s="8"/>
      <c r="S1576" s="8"/>
      <c r="Y1576" s="4" t="s">
        <v>3342</v>
      </c>
    </row>
    <row r="1577" spans="1:25" ht="12.5">
      <c r="A1577" s="4" t="s">
        <v>5</v>
      </c>
      <c r="B1577" s="4" t="s">
        <v>398</v>
      </c>
      <c r="C1577" s="4" t="s">
        <v>3343</v>
      </c>
      <c r="D1577" s="4" t="s">
        <v>3344</v>
      </c>
      <c r="E1577" s="4">
        <v>34687384626</v>
      </c>
      <c r="F1577" s="4" t="s">
        <v>1842</v>
      </c>
      <c r="G1577" s="32">
        <v>46137</v>
      </c>
      <c r="H1577" s="4" t="s">
        <v>856</v>
      </c>
      <c r="I1577" s="4" t="s">
        <v>886</v>
      </c>
      <c r="J1577" s="102" t="b">
        <v>1</v>
      </c>
      <c r="K1577" s="67" t="b">
        <v>1</v>
      </c>
      <c r="R1577" s="8"/>
      <c r="S1577" s="8"/>
    </row>
    <row r="1578" spans="1:25" ht="12.5">
      <c r="A1578" s="4" t="s">
        <v>5</v>
      </c>
      <c r="B1578" s="4" t="s">
        <v>398</v>
      </c>
      <c r="C1578" s="4" t="s">
        <v>3345</v>
      </c>
      <c r="D1578" s="4" t="s">
        <v>413</v>
      </c>
      <c r="E1578" s="4">
        <v>34645757223</v>
      </c>
      <c r="F1578" s="4" t="s">
        <v>211</v>
      </c>
      <c r="G1578" s="32">
        <v>46138</v>
      </c>
      <c r="H1578" s="4" t="s">
        <v>856</v>
      </c>
      <c r="I1578" s="4" t="s">
        <v>459</v>
      </c>
      <c r="K1578" s="67" t="b">
        <v>1</v>
      </c>
      <c r="R1578" s="8"/>
      <c r="S1578" s="8"/>
      <c r="Y1578" s="4" t="s">
        <v>3342</v>
      </c>
    </row>
    <row r="1579" spans="1:25" ht="12.5">
      <c r="A1579" s="4" t="s">
        <v>5</v>
      </c>
      <c r="B1579" s="4" t="s">
        <v>398</v>
      </c>
      <c r="C1579" s="4" t="s">
        <v>3346</v>
      </c>
      <c r="D1579" s="4" t="s">
        <v>3347</v>
      </c>
      <c r="E1579" s="4">
        <v>34678251317</v>
      </c>
      <c r="F1579" s="4" t="s">
        <v>3348</v>
      </c>
      <c r="G1579" s="32">
        <v>46138</v>
      </c>
      <c r="H1579" s="4" t="s">
        <v>856</v>
      </c>
      <c r="I1579" s="4" t="s">
        <v>1097</v>
      </c>
      <c r="J1579" s="68" t="b">
        <v>1</v>
      </c>
      <c r="K1579" s="67" t="b">
        <v>1</v>
      </c>
      <c r="R1579" s="8"/>
      <c r="S1579" s="8"/>
    </row>
    <row r="1580" spans="1:25" ht="12.5">
      <c r="A1580" s="4" t="s">
        <v>5</v>
      </c>
      <c r="B1580" s="4" t="s">
        <v>398</v>
      </c>
      <c r="C1580" s="4" t="s">
        <v>396</v>
      </c>
      <c r="D1580" s="4" t="s">
        <v>397</v>
      </c>
      <c r="E1580" s="4">
        <v>34638524362</v>
      </c>
      <c r="F1580" s="4" t="s">
        <v>111</v>
      </c>
      <c r="G1580" s="32">
        <v>46138</v>
      </c>
      <c r="H1580" s="4" t="s">
        <v>856</v>
      </c>
      <c r="I1580" s="4" t="s">
        <v>941</v>
      </c>
      <c r="R1580" s="8"/>
      <c r="S1580" s="8"/>
    </row>
    <row r="1581" spans="1:25" ht="12.5">
      <c r="A1581" s="4" t="s">
        <v>5</v>
      </c>
      <c r="B1581" s="4" t="s">
        <v>398</v>
      </c>
      <c r="C1581" s="4" t="s">
        <v>396</v>
      </c>
      <c r="D1581" s="4" t="s">
        <v>397</v>
      </c>
      <c r="E1581" s="4">
        <v>34638524362</v>
      </c>
      <c r="F1581" s="4" t="s">
        <v>228</v>
      </c>
      <c r="G1581" s="32">
        <v>46138</v>
      </c>
      <c r="H1581" s="4" t="s">
        <v>856</v>
      </c>
      <c r="I1581" s="4" t="s">
        <v>448</v>
      </c>
      <c r="J1581" s="68" t="b">
        <v>1</v>
      </c>
      <c r="K1581" s="67" t="b">
        <v>1</v>
      </c>
      <c r="R1581" s="8"/>
      <c r="S1581" s="4" t="s">
        <v>398</v>
      </c>
      <c r="T1581" s="33">
        <v>46139</v>
      </c>
      <c r="U1581" s="6">
        <v>315</v>
      </c>
      <c r="V1581" s="4">
        <v>0</v>
      </c>
      <c r="W1581" s="4">
        <v>1</v>
      </c>
      <c r="X1581" s="8">
        <v>46023</v>
      </c>
    </row>
    <row r="1582" spans="1:25" ht="12.5">
      <c r="A1582" s="4" t="s">
        <v>381</v>
      </c>
      <c r="B1582" s="4" t="s">
        <v>119</v>
      </c>
      <c r="C1582" s="4" t="s">
        <v>3349</v>
      </c>
      <c r="D1582" s="4" t="s">
        <v>3350</v>
      </c>
      <c r="E1582" s="4">
        <v>573024420272</v>
      </c>
      <c r="F1582" s="4" t="s">
        <v>3351</v>
      </c>
      <c r="G1582" s="32">
        <v>46139</v>
      </c>
      <c r="H1582" s="4" t="s">
        <v>856</v>
      </c>
      <c r="I1582" s="4" t="s">
        <v>941</v>
      </c>
      <c r="K1582" s="67" t="b">
        <v>1</v>
      </c>
      <c r="R1582" s="8"/>
      <c r="S1582" s="8"/>
    </row>
    <row r="1583" spans="1:25" ht="12.5">
      <c r="A1583" s="4" t="s">
        <v>5</v>
      </c>
      <c r="B1583" s="4" t="s">
        <v>398</v>
      </c>
      <c r="C1583" s="4" t="s">
        <v>3352</v>
      </c>
      <c r="D1583" s="4" t="s">
        <v>318</v>
      </c>
      <c r="E1583" s="4">
        <v>34648920400</v>
      </c>
      <c r="F1583" s="4" t="s">
        <v>3353</v>
      </c>
      <c r="G1583" s="32">
        <v>46139</v>
      </c>
      <c r="H1583" s="4" t="s">
        <v>856</v>
      </c>
      <c r="I1583" s="4" t="s">
        <v>2299</v>
      </c>
      <c r="R1583" s="8"/>
      <c r="S1583" s="8"/>
    </row>
    <row r="1584" spans="1:25" ht="12.5">
      <c r="A1584" s="4" t="s">
        <v>240</v>
      </c>
      <c r="E1584" s="4" t="s">
        <v>3354</v>
      </c>
      <c r="F1584" s="4" t="s">
        <v>3355</v>
      </c>
      <c r="G1584" s="32">
        <v>46139</v>
      </c>
      <c r="H1584" s="9" t="s">
        <v>956</v>
      </c>
      <c r="I1584" s="4" t="s">
        <v>459</v>
      </c>
      <c r="J1584" s="68" t="b">
        <v>1</v>
      </c>
      <c r="K1584" s="67" t="b">
        <v>1</v>
      </c>
      <c r="R1584" s="8"/>
      <c r="S1584" s="8"/>
    </row>
    <row r="1585" spans="1:19" ht="12.5">
      <c r="A1585" s="4" t="s">
        <v>381</v>
      </c>
      <c r="B1585" s="4" t="s">
        <v>119</v>
      </c>
      <c r="C1585" s="4" t="s">
        <v>3356</v>
      </c>
      <c r="E1585" s="4" t="s">
        <v>3357</v>
      </c>
      <c r="F1585" s="4" t="s">
        <v>3358</v>
      </c>
      <c r="G1585" s="32">
        <v>46139</v>
      </c>
      <c r="H1585" s="9" t="s">
        <v>956</v>
      </c>
      <c r="I1585" s="4" t="s">
        <v>459</v>
      </c>
      <c r="J1585" s="4"/>
      <c r="K1585" s="67" t="b">
        <v>1</v>
      </c>
      <c r="L1585" s="4"/>
      <c r="M1585" s="4"/>
      <c r="N1585" s="4"/>
      <c r="O1585" s="4"/>
      <c r="P1585" s="4"/>
      <c r="Q1585" s="4"/>
      <c r="R1585" s="8"/>
      <c r="S1585" s="8"/>
    </row>
    <row r="1586" spans="1:19" ht="12.5">
      <c r="A1586" s="4" t="s">
        <v>5</v>
      </c>
      <c r="B1586" s="4" t="s">
        <v>398</v>
      </c>
      <c r="C1586" s="4" t="s">
        <v>3359</v>
      </c>
      <c r="D1586" s="4" t="s">
        <v>3360</v>
      </c>
      <c r="E1586" s="4">
        <v>34644540274</v>
      </c>
      <c r="F1586" s="4" t="s">
        <v>3361</v>
      </c>
      <c r="G1586" s="32">
        <v>46139</v>
      </c>
      <c r="H1586" s="9" t="s">
        <v>856</v>
      </c>
      <c r="I1586" s="4" t="s">
        <v>459</v>
      </c>
      <c r="J1586" s="68" t="b">
        <v>1</v>
      </c>
      <c r="K1586" s="67" t="b">
        <v>1</v>
      </c>
      <c r="R1586" s="8"/>
      <c r="S1586" s="8"/>
    </row>
    <row r="1587" spans="1:19" ht="12.5">
      <c r="A1587" s="4" t="s">
        <v>5</v>
      </c>
      <c r="B1587" s="4" t="s">
        <v>119</v>
      </c>
      <c r="C1587" s="4" t="s">
        <v>3362</v>
      </c>
      <c r="D1587" s="4" t="s">
        <v>3363</v>
      </c>
      <c r="E1587" s="4">
        <v>34690183516</v>
      </c>
      <c r="F1587" s="4" t="s">
        <v>2238</v>
      </c>
      <c r="G1587" s="32">
        <v>46139</v>
      </c>
      <c r="H1587" s="9" t="s">
        <v>856</v>
      </c>
      <c r="I1587" s="4" t="s">
        <v>941</v>
      </c>
      <c r="J1587" s="68" t="b">
        <v>1</v>
      </c>
      <c r="K1587" s="67" t="b">
        <v>1</v>
      </c>
      <c r="N1587" s="67" t="b">
        <v>1</v>
      </c>
      <c r="Q1587" s="67" t="b">
        <v>1</v>
      </c>
      <c r="R1587" s="8"/>
      <c r="S1587" s="8"/>
    </row>
    <row r="1588" spans="1:19" ht="12.5">
      <c r="A1588" s="4" t="s">
        <v>5</v>
      </c>
      <c r="B1588" s="4" t="s">
        <v>119</v>
      </c>
      <c r="C1588" s="4" t="s">
        <v>3364</v>
      </c>
      <c r="E1588" s="4" t="s">
        <v>3365</v>
      </c>
      <c r="F1588" s="4" t="s">
        <v>3366</v>
      </c>
      <c r="G1588" s="43">
        <v>46139</v>
      </c>
      <c r="H1588" s="9" t="s">
        <v>956</v>
      </c>
      <c r="I1588" s="9" t="s">
        <v>459</v>
      </c>
      <c r="J1588" s="4"/>
      <c r="K1588" s="67" t="b">
        <v>1</v>
      </c>
      <c r="L1588" s="4"/>
      <c r="M1588" s="4"/>
      <c r="N1588" s="67" t="b">
        <v>1</v>
      </c>
      <c r="O1588" s="4"/>
      <c r="P1588" s="4"/>
      <c r="Q1588" s="4"/>
      <c r="R1588" s="8"/>
      <c r="S1588" s="8"/>
    </row>
    <row r="1589" spans="1:19" ht="20">
      <c r="A1589" s="103" t="s">
        <v>240</v>
      </c>
      <c r="B1589" s="4" t="s">
        <v>119</v>
      </c>
      <c r="C1589" s="4" t="s">
        <v>3367</v>
      </c>
      <c r="E1589" s="4" t="s">
        <v>3368</v>
      </c>
      <c r="F1589" s="54" t="s">
        <v>3369</v>
      </c>
      <c r="G1589" s="43">
        <v>46139</v>
      </c>
      <c r="H1589" s="9" t="s">
        <v>956</v>
      </c>
      <c r="I1589" s="9" t="s">
        <v>1097</v>
      </c>
      <c r="J1589" s="68" t="b">
        <v>1</v>
      </c>
      <c r="K1589" s="67" t="b">
        <v>1</v>
      </c>
      <c r="L1589" s="4"/>
      <c r="M1589" s="4"/>
      <c r="N1589" s="4"/>
      <c r="O1589" s="4"/>
      <c r="P1589" s="4"/>
      <c r="Q1589" s="4"/>
      <c r="R1589" s="8"/>
      <c r="S1589" s="8"/>
    </row>
    <row r="1590" spans="1:19" ht="12.5">
      <c r="A1590" s="4" t="s">
        <v>5</v>
      </c>
      <c r="B1590" s="4" t="s">
        <v>119</v>
      </c>
      <c r="C1590" s="4" t="s">
        <v>3370</v>
      </c>
      <c r="E1590" s="4" t="s">
        <v>3371</v>
      </c>
      <c r="F1590" s="4" t="s">
        <v>1965</v>
      </c>
      <c r="G1590" s="43">
        <v>46139</v>
      </c>
      <c r="H1590" s="9" t="s">
        <v>956</v>
      </c>
      <c r="I1590" s="9" t="s">
        <v>459</v>
      </c>
      <c r="J1590" s="68" t="b">
        <v>1</v>
      </c>
      <c r="K1590" s="67" t="b">
        <v>1</v>
      </c>
      <c r="L1590" s="4"/>
      <c r="M1590" s="4"/>
      <c r="N1590" s="4"/>
      <c r="O1590" s="4"/>
      <c r="P1590" s="4"/>
      <c r="Q1590" s="4"/>
      <c r="R1590" s="8"/>
      <c r="S1590" s="8"/>
    </row>
    <row r="1591" spans="1:19" ht="12.5">
      <c r="A1591" s="4" t="s">
        <v>381</v>
      </c>
      <c r="B1591" s="4" t="s">
        <v>119</v>
      </c>
      <c r="C1591" s="4" t="s">
        <v>566</v>
      </c>
      <c r="E1591" s="4" t="s">
        <v>3372</v>
      </c>
      <c r="F1591" s="4" t="s">
        <v>3373</v>
      </c>
      <c r="G1591" s="43">
        <v>46139</v>
      </c>
      <c r="H1591" s="9" t="s">
        <v>956</v>
      </c>
      <c r="I1591" s="9" t="s">
        <v>459</v>
      </c>
      <c r="J1591" s="4"/>
      <c r="K1591" s="67" t="b">
        <v>1</v>
      </c>
      <c r="L1591" s="4"/>
      <c r="M1591" s="4"/>
      <c r="N1591" s="67" t="b">
        <v>1</v>
      </c>
      <c r="O1591" s="4"/>
      <c r="P1591" s="4"/>
      <c r="Q1591" s="67" t="b">
        <v>1</v>
      </c>
      <c r="R1591" s="8"/>
      <c r="S1591" s="8"/>
    </row>
    <row r="1592" spans="1:19" ht="12.5">
      <c r="A1592" s="4" t="s">
        <v>5</v>
      </c>
      <c r="B1592" s="4" t="s">
        <v>398</v>
      </c>
      <c r="C1592" s="4" t="s">
        <v>3374</v>
      </c>
      <c r="D1592" s="4" t="s">
        <v>3375</v>
      </c>
      <c r="E1592" s="4">
        <v>34632536985</v>
      </c>
      <c r="F1592" s="4" t="s">
        <v>388</v>
      </c>
      <c r="G1592" s="43">
        <v>46139</v>
      </c>
      <c r="H1592" s="9" t="s">
        <v>856</v>
      </c>
      <c r="I1592" s="9" t="s">
        <v>459</v>
      </c>
      <c r="K1592" s="67" t="b">
        <v>0</v>
      </c>
      <c r="L1592" s="68" t="b">
        <v>1</v>
      </c>
      <c r="R1592" s="8"/>
      <c r="S1592" s="8"/>
    </row>
    <row r="1593" spans="1:19" ht="12.5">
      <c r="A1593" s="4" t="s">
        <v>5</v>
      </c>
      <c r="B1593" s="4" t="s">
        <v>119</v>
      </c>
      <c r="C1593" s="4" t="s">
        <v>3376</v>
      </c>
      <c r="D1593" s="4" t="s">
        <v>3377</v>
      </c>
      <c r="E1593" s="4">
        <v>573184888699</v>
      </c>
      <c r="F1593" s="4" t="s">
        <v>2238</v>
      </c>
      <c r="G1593" s="43">
        <v>46140</v>
      </c>
      <c r="H1593" s="9" t="s">
        <v>856</v>
      </c>
      <c r="I1593" s="9" t="s">
        <v>974</v>
      </c>
      <c r="K1593" s="67" t="b">
        <v>1</v>
      </c>
      <c r="R1593" s="8"/>
      <c r="S1593" s="8"/>
    </row>
    <row r="1594" spans="1:19" ht="12.5">
      <c r="A1594" s="4" t="s">
        <v>5</v>
      </c>
      <c r="B1594" s="4" t="s">
        <v>119</v>
      </c>
      <c r="C1594" s="4" t="s">
        <v>3378</v>
      </c>
      <c r="E1594" s="4" t="s">
        <v>3379</v>
      </c>
      <c r="F1594" s="4" t="s">
        <v>267</v>
      </c>
      <c r="G1594" s="43">
        <v>46140</v>
      </c>
      <c r="H1594" s="9" t="s">
        <v>956</v>
      </c>
      <c r="I1594" s="4" t="s">
        <v>459</v>
      </c>
      <c r="J1594" s="4"/>
      <c r="K1594" s="67" t="b">
        <v>1</v>
      </c>
      <c r="L1594" s="4"/>
      <c r="M1594" s="4"/>
      <c r="N1594" s="4"/>
      <c r="O1594" s="4"/>
      <c r="P1594" s="4"/>
      <c r="Q1594" s="4"/>
      <c r="R1594" s="8"/>
      <c r="S1594" s="8"/>
    </row>
    <row r="1595" spans="1:19" ht="12.5">
      <c r="A1595" s="4" t="s">
        <v>5</v>
      </c>
      <c r="B1595" s="4" t="s">
        <v>119</v>
      </c>
      <c r="E1595" s="4" t="s">
        <v>3380</v>
      </c>
      <c r="F1595" s="4" t="s">
        <v>3381</v>
      </c>
      <c r="G1595" s="43">
        <v>46140</v>
      </c>
      <c r="H1595" s="9" t="s">
        <v>956</v>
      </c>
      <c r="I1595" s="4" t="s">
        <v>459</v>
      </c>
      <c r="J1595" s="4"/>
      <c r="K1595" s="67" t="b">
        <v>1</v>
      </c>
      <c r="L1595" s="4"/>
      <c r="M1595" s="4"/>
      <c r="N1595" s="67" t="b">
        <v>1</v>
      </c>
      <c r="O1595" s="4"/>
      <c r="P1595" s="4"/>
      <c r="Q1595" s="4"/>
      <c r="R1595" s="8"/>
      <c r="S1595" s="8"/>
    </row>
    <row r="1596" spans="1:19" ht="12.5">
      <c r="A1596" s="4" t="s">
        <v>5</v>
      </c>
      <c r="B1596" s="4" t="s">
        <v>398</v>
      </c>
      <c r="C1596" s="4" t="s">
        <v>3382</v>
      </c>
      <c r="D1596" s="4" t="s">
        <v>3383</v>
      </c>
      <c r="E1596" s="4">
        <v>34635021719</v>
      </c>
      <c r="F1596" s="4" t="s">
        <v>3384</v>
      </c>
      <c r="G1596" s="43">
        <v>46140</v>
      </c>
      <c r="H1596" s="9" t="s">
        <v>856</v>
      </c>
      <c r="I1596" s="4" t="s">
        <v>459</v>
      </c>
      <c r="J1596" s="68" t="b">
        <v>1</v>
      </c>
      <c r="K1596" s="67" t="b">
        <v>1</v>
      </c>
      <c r="R1596" s="8"/>
      <c r="S1596" s="8"/>
    </row>
    <row r="1597" spans="1:19" ht="12.5">
      <c r="A1597" s="4" t="s">
        <v>381</v>
      </c>
      <c r="B1597" s="4" t="s">
        <v>119</v>
      </c>
      <c r="C1597" s="4" t="s">
        <v>3385</v>
      </c>
      <c r="E1597" s="4" t="s">
        <v>3386</v>
      </c>
      <c r="F1597" s="4" t="s">
        <v>3387</v>
      </c>
      <c r="G1597" s="43">
        <v>46140</v>
      </c>
      <c r="H1597" s="9" t="s">
        <v>956</v>
      </c>
      <c r="I1597" s="4" t="s">
        <v>459</v>
      </c>
      <c r="J1597" s="68" t="b">
        <v>1</v>
      </c>
      <c r="K1597" s="67" t="b">
        <v>1</v>
      </c>
      <c r="L1597" s="4"/>
      <c r="M1597" s="4"/>
      <c r="N1597" s="67" t="b">
        <v>1</v>
      </c>
      <c r="O1597" s="4"/>
      <c r="P1597" s="4"/>
      <c r="Q1597" s="4"/>
      <c r="R1597" s="8"/>
      <c r="S1597" s="8"/>
    </row>
    <row r="1598" spans="1:19" ht="12.5">
      <c r="A1598" s="4" t="s">
        <v>381</v>
      </c>
      <c r="B1598" s="4" t="s">
        <v>119</v>
      </c>
      <c r="C1598" s="4" t="s">
        <v>3388</v>
      </c>
      <c r="E1598" s="4" t="s">
        <v>3389</v>
      </c>
      <c r="F1598" s="4" t="s">
        <v>3390</v>
      </c>
      <c r="G1598" s="43">
        <v>46140</v>
      </c>
      <c r="H1598" s="9" t="s">
        <v>956</v>
      </c>
      <c r="I1598" s="4" t="s">
        <v>459</v>
      </c>
      <c r="J1598" s="4"/>
      <c r="K1598" s="67" t="b">
        <v>1</v>
      </c>
      <c r="L1598" s="4"/>
      <c r="M1598" s="4"/>
      <c r="N1598" s="67" t="b">
        <v>1</v>
      </c>
      <c r="O1598" s="4"/>
      <c r="P1598" s="4"/>
      <c r="Q1598" s="4"/>
      <c r="R1598" s="8"/>
      <c r="S1598" s="8"/>
    </row>
    <row r="1599" spans="1:19" ht="12.5">
      <c r="B1599" s="4" t="s">
        <v>398</v>
      </c>
      <c r="C1599" s="4" t="s">
        <v>3391</v>
      </c>
      <c r="E1599" s="4">
        <v>593999977852</v>
      </c>
      <c r="G1599" s="43">
        <v>46140</v>
      </c>
      <c r="H1599" s="9" t="s">
        <v>956</v>
      </c>
      <c r="I1599" s="4" t="s">
        <v>941</v>
      </c>
      <c r="J1599" s="4"/>
      <c r="K1599" s="67" t="b">
        <v>1</v>
      </c>
      <c r="L1599" s="4"/>
      <c r="M1599" s="4"/>
      <c r="N1599" s="4"/>
      <c r="O1599" s="4"/>
      <c r="P1599" s="4"/>
      <c r="Q1599" s="4"/>
      <c r="R1599" s="8"/>
      <c r="S1599" s="8"/>
    </row>
    <row r="1600" spans="1:19" ht="12.5">
      <c r="A1600" s="4" t="s">
        <v>5</v>
      </c>
      <c r="B1600" s="4" t="s">
        <v>119</v>
      </c>
      <c r="C1600" s="4" t="s">
        <v>3392</v>
      </c>
      <c r="D1600" s="4" t="s">
        <v>3393</v>
      </c>
      <c r="E1600" s="4">
        <v>3186035712</v>
      </c>
      <c r="F1600" s="4" t="s">
        <v>3394</v>
      </c>
      <c r="G1600" s="43">
        <v>46141</v>
      </c>
      <c r="H1600" s="9" t="s">
        <v>856</v>
      </c>
      <c r="I1600" s="4" t="s">
        <v>459</v>
      </c>
      <c r="L1600" s="68" t="b">
        <v>1</v>
      </c>
      <c r="R1600" s="8"/>
      <c r="S1600" s="8"/>
    </row>
    <row r="1601" spans="1:24" ht="12.5">
      <c r="A1601" s="4" t="s">
        <v>5</v>
      </c>
      <c r="B1601" s="4" t="s">
        <v>398</v>
      </c>
      <c r="C1601" s="4" t="s">
        <v>3158</v>
      </c>
      <c r="E1601" s="4">
        <v>34625384303</v>
      </c>
      <c r="F1601" s="4" t="s">
        <v>3395</v>
      </c>
      <c r="G1601" s="43">
        <v>46141</v>
      </c>
      <c r="H1601" s="9" t="s">
        <v>956</v>
      </c>
      <c r="I1601" s="4" t="s">
        <v>459</v>
      </c>
      <c r="J1601" s="4"/>
      <c r="K1601" s="67" t="b">
        <v>1</v>
      </c>
      <c r="L1601" s="4"/>
      <c r="M1601" s="4"/>
      <c r="N1601" s="4"/>
      <c r="O1601" s="4"/>
      <c r="P1601" s="4"/>
      <c r="Q1601" s="4"/>
      <c r="R1601" s="8"/>
      <c r="S1601" s="8"/>
    </row>
    <row r="1602" spans="1:24" ht="12.5">
      <c r="A1602" s="4" t="s">
        <v>5</v>
      </c>
      <c r="B1602" s="4" t="s">
        <v>119</v>
      </c>
      <c r="C1602" s="4" t="s">
        <v>3396</v>
      </c>
      <c r="E1602" s="4" t="s">
        <v>3397</v>
      </c>
      <c r="F1602" s="4" t="s">
        <v>3398</v>
      </c>
      <c r="G1602" s="43">
        <v>46141</v>
      </c>
      <c r="H1602" s="9" t="s">
        <v>956</v>
      </c>
      <c r="I1602" s="4" t="s">
        <v>459</v>
      </c>
      <c r="J1602" s="68" t="b">
        <v>1</v>
      </c>
      <c r="K1602" s="67" t="b">
        <v>1</v>
      </c>
      <c r="L1602" s="4"/>
      <c r="M1602" s="4"/>
      <c r="N1602" s="67" t="b">
        <v>1</v>
      </c>
      <c r="O1602" s="4"/>
      <c r="P1602" s="4"/>
      <c r="Q1602" s="4"/>
      <c r="R1602" s="8"/>
      <c r="S1602" s="8"/>
    </row>
    <row r="1603" spans="1:24" ht="12.5">
      <c r="A1603" s="4" t="s">
        <v>5</v>
      </c>
      <c r="B1603" s="4" t="s">
        <v>398</v>
      </c>
      <c r="C1603" s="4" t="s">
        <v>3399</v>
      </c>
      <c r="E1603" s="4">
        <v>573106458478</v>
      </c>
      <c r="F1603" s="4" t="s">
        <v>3400</v>
      </c>
      <c r="G1603" s="43">
        <v>46141</v>
      </c>
      <c r="H1603" s="9" t="s">
        <v>956</v>
      </c>
      <c r="I1603" s="4" t="s">
        <v>2299</v>
      </c>
      <c r="J1603" s="4"/>
      <c r="K1603" s="67" t="b">
        <v>1</v>
      </c>
      <c r="L1603" s="4"/>
      <c r="M1603" s="4"/>
      <c r="N1603" s="4"/>
      <c r="O1603" s="4"/>
      <c r="P1603" s="4"/>
      <c r="Q1603" s="4"/>
      <c r="R1603" s="8"/>
      <c r="S1603" s="8"/>
    </row>
    <row r="1604" spans="1:24" ht="12.5">
      <c r="A1604" s="4" t="s">
        <v>5</v>
      </c>
      <c r="B1604" s="4" t="s">
        <v>119</v>
      </c>
      <c r="C1604" s="4" t="s">
        <v>3401</v>
      </c>
      <c r="E1604" s="4" t="s">
        <v>3402</v>
      </c>
      <c r="F1604" s="99" t="s">
        <v>2762</v>
      </c>
      <c r="G1604" s="43">
        <v>46141</v>
      </c>
      <c r="H1604" s="9" t="s">
        <v>956</v>
      </c>
      <c r="I1604" s="4" t="s">
        <v>941</v>
      </c>
      <c r="J1604" s="68" t="b">
        <v>1</v>
      </c>
      <c r="K1604" s="67" t="b">
        <v>1</v>
      </c>
      <c r="L1604" s="4"/>
      <c r="M1604" s="4"/>
      <c r="N1604" s="67" t="b">
        <v>1</v>
      </c>
      <c r="O1604" s="4"/>
      <c r="P1604" s="4"/>
      <c r="Q1604" s="4"/>
      <c r="R1604" s="8"/>
      <c r="S1604" s="8"/>
    </row>
    <row r="1605" spans="1:24" ht="12.5">
      <c r="A1605" s="4" t="s">
        <v>5</v>
      </c>
      <c r="B1605" s="4" t="s">
        <v>398</v>
      </c>
      <c r="C1605" s="4" t="s">
        <v>3399</v>
      </c>
      <c r="E1605" s="4">
        <v>522224026819</v>
      </c>
      <c r="F1605" s="4" t="s">
        <v>3403</v>
      </c>
      <c r="G1605" s="43">
        <v>46141</v>
      </c>
      <c r="H1605" s="9" t="s">
        <v>956</v>
      </c>
      <c r="I1605" s="4" t="s">
        <v>459</v>
      </c>
      <c r="J1605" s="4"/>
      <c r="K1605" s="67" t="b">
        <v>1</v>
      </c>
      <c r="L1605" s="4"/>
      <c r="M1605" s="4"/>
      <c r="N1605" s="4"/>
      <c r="O1605" s="4"/>
      <c r="P1605" s="4"/>
      <c r="Q1605" s="4"/>
      <c r="R1605" s="8"/>
      <c r="S1605" s="8"/>
    </row>
    <row r="1606" spans="1:24" ht="12.5">
      <c r="A1606" s="4" t="s">
        <v>5</v>
      </c>
      <c r="B1606" s="4" t="s">
        <v>119</v>
      </c>
      <c r="E1606" s="4" t="s">
        <v>3404</v>
      </c>
      <c r="F1606" s="55" t="s">
        <v>1582</v>
      </c>
      <c r="G1606" s="43">
        <v>46141</v>
      </c>
      <c r="H1606" s="9" t="s">
        <v>956</v>
      </c>
      <c r="I1606" s="4" t="s">
        <v>459</v>
      </c>
      <c r="J1606" s="68" t="b">
        <v>1</v>
      </c>
      <c r="K1606" s="67" t="b">
        <v>1</v>
      </c>
      <c r="L1606" s="4"/>
      <c r="M1606" s="4"/>
      <c r="N1606" s="67" t="b">
        <v>1</v>
      </c>
      <c r="O1606" s="4"/>
      <c r="P1606" s="4"/>
      <c r="Q1606" s="67" t="b">
        <v>1</v>
      </c>
      <c r="R1606" s="8"/>
      <c r="S1606" s="8"/>
    </row>
    <row r="1607" spans="1:24" ht="12.5">
      <c r="A1607" s="4" t="s">
        <v>5</v>
      </c>
      <c r="B1607" s="4" t="s">
        <v>398</v>
      </c>
      <c r="C1607" s="4" t="s">
        <v>414</v>
      </c>
      <c r="D1607" s="4" t="s">
        <v>415</v>
      </c>
      <c r="E1607" s="4">
        <v>525534993266</v>
      </c>
      <c r="F1607" s="55" t="s">
        <v>71</v>
      </c>
      <c r="G1607" s="43">
        <v>46141</v>
      </c>
      <c r="H1607" s="9" t="s">
        <v>856</v>
      </c>
      <c r="I1607" s="4" t="s">
        <v>448</v>
      </c>
      <c r="J1607" s="68" t="b">
        <v>1</v>
      </c>
      <c r="K1607" s="67" t="b">
        <v>1</v>
      </c>
      <c r="L1607" s="68" t="b">
        <v>1</v>
      </c>
      <c r="R1607" s="4"/>
      <c r="S1607" s="4" t="s">
        <v>398</v>
      </c>
      <c r="T1607" s="5">
        <v>46150</v>
      </c>
      <c r="U1607" s="6">
        <v>145</v>
      </c>
      <c r="V1607" s="4">
        <v>0</v>
      </c>
      <c r="W1607" s="4">
        <v>2</v>
      </c>
      <c r="X1607" s="8">
        <v>46054</v>
      </c>
    </row>
    <row r="1608" spans="1:24" ht="12.5">
      <c r="A1608" s="4" t="s">
        <v>5</v>
      </c>
      <c r="B1608" s="4" t="s">
        <v>398</v>
      </c>
      <c r="C1608" s="4" t="s">
        <v>3405</v>
      </c>
      <c r="E1608" s="4">
        <v>595973409282</v>
      </c>
      <c r="G1608" s="32">
        <v>46142</v>
      </c>
      <c r="H1608" s="9" t="s">
        <v>956</v>
      </c>
      <c r="I1608" s="4" t="s">
        <v>941</v>
      </c>
      <c r="J1608" s="4"/>
      <c r="K1608" s="67" t="b">
        <v>1</v>
      </c>
      <c r="L1608" s="4"/>
      <c r="M1608" s="4"/>
      <c r="N1608" s="4"/>
      <c r="O1608" s="4"/>
      <c r="P1608" s="4"/>
      <c r="Q1608" s="4"/>
      <c r="R1608" s="8"/>
      <c r="S1608" s="8"/>
    </row>
    <row r="1609" spans="1:24" ht="12.5">
      <c r="A1609" s="4" t="s">
        <v>5</v>
      </c>
      <c r="B1609" s="4" t="s">
        <v>119</v>
      </c>
      <c r="E1609" s="4" t="s">
        <v>3406</v>
      </c>
      <c r="F1609" s="4" t="s">
        <v>2238</v>
      </c>
      <c r="G1609" s="32">
        <v>46142</v>
      </c>
      <c r="H1609" s="9" t="s">
        <v>956</v>
      </c>
      <c r="I1609" s="4" t="s">
        <v>459</v>
      </c>
      <c r="J1609" s="68" t="b">
        <v>1</v>
      </c>
      <c r="K1609" s="67" t="b">
        <v>1</v>
      </c>
      <c r="L1609" s="4"/>
      <c r="M1609" s="4"/>
      <c r="N1609" s="4"/>
      <c r="O1609" s="4"/>
      <c r="P1609" s="4"/>
      <c r="Q1609" s="4"/>
      <c r="R1609" s="8"/>
      <c r="S1609" s="8"/>
    </row>
    <row r="1610" spans="1:24" ht="12.5">
      <c r="A1610" s="4" t="s">
        <v>381</v>
      </c>
      <c r="B1610" s="4" t="s">
        <v>119</v>
      </c>
      <c r="E1610" s="4" t="s">
        <v>3407</v>
      </c>
      <c r="F1610" s="4" t="s">
        <v>3408</v>
      </c>
      <c r="G1610" s="32">
        <v>46142</v>
      </c>
      <c r="H1610" s="9" t="s">
        <v>956</v>
      </c>
      <c r="I1610" s="4" t="s">
        <v>459</v>
      </c>
      <c r="J1610" s="4"/>
      <c r="K1610" s="4"/>
      <c r="L1610" s="4"/>
      <c r="M1610" s="4"/>
      <c r="N1610" s="4"/>
      <c r="O1610" s="4"/>
      <c r="P1610" s="4"/>
      <c r="Q1610" s="4"/>
      <c r="R1610" s="8"/>
      <c r="S1610" s="8"/>
    </row>
    <row r="1611" spans="1:24" ht="12.5">
      <c r="A1611" s="4" t="s">
        <v>240</v>
      </c>
      <c r="B1611" s="4" t="s">
        <v>119</v>
      </c>
      <c r="C1611" s="4" t="s">
        <v>3409</v>
      </c>
      <c r="E1611" s="4" t="s">
        <v>3410</v>
      </c>
      <c r="F1611" s="4" t="s">
        <v>3411</v>
      </c>
      <c r="G1611" s="32">
        <v>46142</v>
      </c>
      <c r="H1611" s="9" t="s">
        <v>956</v>
      </c>
      <c r="I1611" s="4" t="s">
        <v>459</v>
      </c>
      <c r="J1611" s="4"/>
      <c r="K1611" s="67" t="b">
        <v>1</v>
      </c>
      <c r="L1611" s="4"/>
      <c r="M1611" s="4"/>
      <c r="N1611" s="67" t="b">
        <v>1</v>
      </c>
      <c r="O1611" s="4"/>
      <c r="P1611" s="4"/>
      <c r="Q1611" s="4"/>
      <c r="R1611" s="8"/>
      <c r="S1611" s="8"/>
    </row>
    <row r="1612" spans="1:24" ht="12.5">
      <c r="A1612" s="4" t="s">
        <v>5</v>
      </c>
      <c r="B1612" s="4" t="s">
        <v>119</v>
      </c>
      <c r="C1612" s="4" t="s">
        <v>3412</v>
      </c>
      <c r="D1612" s="4" t="s">
        <v>3413</v>
      </c>
      <c r="E1612" s="4">
        <v>34678905014</v>
      </c>
      <c r="F1612" s="4" t="s">
        <v>70</v>
      </c>
      <c r="G1612" s="32">
        <v>46143</v>
      </c>
      <c r="H1612" s="4" t="s">
        <v>856</v>
      </c>
      <c r="I1612" s="4" t="s">
        <v>941</v>
      </c>
      <c r="K1612" s="67" t="b">
        <v>1</v>
      </c>
      <c r="N1612" s="67" t="b">
        <v>1</v>
      </c>
      <c r="R1612" s="8"/>
      <c r="S1612" s="8"/>
    </row>
    <row r="1613" spans="1:24" ht="12.5">
      <c r="A1613" s="4" t="s">
        <v>5</v>
      </c>
      <c r="B1613" s="4" t="s">
        <v>398</v>
      </c>
      <c r="C1613" s="4" t="s">
        <v>3414</v>
      </c>
      <c r="D1613" s="4" t="s">
        <v>3415</v>
      </c>
      <c r="E1613" s="4">
        <v>51964819319</v>
      </c>
      <c r="F1613" s="4" t="s">
        <v>3139</v>
      </c>
      <c r="G1613" s="32">
        <v>46145</v>
      </c>
      <c r="H1613" s="4" t="s">
        <v>856</v>
      </c>
      <c r="I1613" s="4" t="s">
        <v>459</v>
      </c>
      <c r="K1613" s="67" t="b">
        <v>1</v>
      </c>
      <c r="R1613" s="8"/>
      <c r="S1613" s="8"/>
    </row>
    <row r="1614" spans="1:24" ht="12.5">
      <c r="A1614" s="4" t="s">
        <v>5</v>
      </c>
      <c r="B1614" s="4" t="s">
        <v>119</v>
      </c>
      <c r="C1614" s="4" t="s">
        <v>3416</v>
      </c>
      <c r="D1614" s="4" t="s">
        <v>3417</v>
      </c>
      <c r="E1614" s="4">
        <v>56994044769</v>
      </c>
      <c r="F1614" s="4" t="s">
        <v>3418</v>
      </c>
      <c r="G1614" s="32">
        <v>46146</v>
      </c>
      <c r="H1614" s="4" t="s">
        <v>856</v>
      </c>
      <c r="I1614" s="4" t="s">
        <v>459</v>
      </c>
      <c r="K1614" s="67" t="b">
        <v>1</v>
      </c>
      <c r="N1614" s="67" t="b">
        <v>1</v>
      </c>
      <c r="R1614" s="8"/>
      <c r="S1614" s="8"/>
    </row>
    <row r="1615" spans="1:24" ht="12.5">
      <c r="A1615" s="4" t="s">
        <v>5</v>
      </c>
      <c r="B1615" s="4" t="s">
        <v>398</v>
      </c>
      <c r="C1615" s="4" t="s">
        <v>432</v>
      </c>
      <c r="D1615" s="4" t="s">
        <v>433</v>
      </c>
      <c r="E1615" s="4">
        <v>34611181511</v>
      </c>
      <c r="F1615" s="4" t="s">
        <v>27</v>
      </c>
      <c r="G1615" s="32">
        <v>46146</v>
      </c>
      <c r="H1615" s="4" t="s">
        <v>856</v>
      </c>
      <c r="I1615" s="4" t="s">
        <v>448</v>
      </c>
      <c r="K1615" s="67" t="b">
        <v>1</v>
      </c>
      <c r="N1615" s="67" t="b">
        <v>1</v>
      </c>
      <c r="R1615" s="8"/>
      <c r="S1615" s="4" t="s">
        <v>398</v>
      </c>
      <c r="T1615" s="16">
        <v>46156</v>
      </c>
      <c r="U1615" s="6">
        <v>280</v>
      </c>
      <c r="V1615" s="7">
        <v>0.2</v>
      </c>
      <c r="W1615" s="4">
        <v>0</v>
      </c>
      <c r="X1615" s="8">
        <v>46023</v>
      </c>
    </row>
    <row r="1616" spans="1:24" ht="12.5">
      <c r="A1616" s="4" t="s">
        <v>5</v>
      </c>
      <c r="B1616" s="4" t="s">
        <v>119</v>
      </c>
      <c r="E1616" s="4" t="s">
        <v>3419</v>
      </c>
      <c r="F1616" s="4" t="s">
        <v>3420</v>
      </c>
      <c r="G1616" s="32">
        <v>46146</v>
      </c>
      <c r="H1616" s="9" t="s">
        <v>956</v>
      </c>
      <c r="I1616" s="4" t="s">
        <v>459</v>
      </c>
      <c r="J1616" s="4"/>
      <c r="K1616" s="67" t="b">
        <v>1</v>
      </c>
      <c r="L1616" s="4"/>
      <c r="M1616" s="4"/>
      <c r="N1616" s="67" t="b">
        <v>1</v>
      </c>
      <c r="O1616" s="4"/>
      <c r="P1616" s="4"/>
      <c r="Q1616" s="67" t="b">
        <v>1</v>
      </c>
      <c r="R1616" s="8"/>
      <c r="S1616" s="8"/>
    </row>
    <row r="1617" spans="1:24" ht="12.5">
      <c r="A1617" s="4" t="s">
        <v>240</v>
      </c>
      <c r="B1617" s="4" t="s">
        <v>119</v>
      </c>
      <c r="E1617" s="4" t="s">
        <v>3421</v>
      </c>
      <c r="F1617" s="4" t="s">
        <v>3422</v>
      </c>
      <c r="G1617" s="32">
        <v>46146</v>
      </c>
      <c r="H1617" s="9" t="s">
        <v>956</v>
      </c>
      <c r="I1617" s="4" t="s">
        <v>459</v>
      </c>
      <c r="J1617" s="4"/>
      <c r="K1617" s="67" t="b">
        <v>1</v>
      </c>
      <c r="L1617" s="4"/>
      <c r="M1617" s="4"/>
      <c r="N1617" s="67" t="b">
        <v>1</v>
      </c>
      <c r="O1617" s="4"/>
      <c r="P1617" s="4"/>
      <c r="Q1617" s="67" t="b">
        <v>1</v>
      </c>
      <c r="R1617" s="8"/>
      <c r="S1617" s="8"/>
    </row>
    <row r="1618" spans="1:24" ht="12.5">
      <c r="A1618" s="4" t="s">
        <v>240</v>
      </c>
      <c r="B1618" s="4" t="s">
        <v>119</v>
      </c>
      <c r="C1618" s="4" t="s">
        <v>410</v>
      </c>
      <c r="E1618" s="4" t="s">
        <v>411</v>
      </c>
      <c r="F1618" s="4" t="s">
        <v>412</v>
      </c>
      <c r="G1618" s="32">
        <v>46146</v>
      </c>
      <c r="H1618" s="9" t="s">
        <v>956</v>
      </c>
      <c r="I1618" s="4" t="s">
        <v>448</v>
      </c>
      <c r="J1618" s="4"/>
      <c r="K1618" s="67" t="b">
        <v>1</v>
      </c>
      <c r="L1618" s="4"/>
      <c r="M1618" s="4"/>
      <c r="N1618" s="67" t="b">
        <v>1</v>
      </c>
      <c r="O1618" s="4"/>
      <c r="P1618" s="4"/>
      <c r="Q1618" s="4"/>
      <c r="R1618" s="8"/>
      <c r="S1618" s="4" t="s">
        <v>119</v>
      </c>
      <c r="T1618" s="33">
        <v>46150</v>
      </c>
      <c r="U1618" s="6">
        <v>97.42</v>
      </c>
      <c r="V1618" s="7">
        <v>0.3</v>
      </c>
      <c r="W1618" s="4">
        <v>12</v>
      </c>
      <c r="X1618" s="8">
        <v>46357</v>
      </c>
    </row>
    <row r="1619" spans="1:24" ht="12.5">
      <c r="A1619" s="4" t="s">
        <v>5</v>
      </c>
      <c r="B1619" s="4" t="s">
        <v>119</v>
      </c>
      <c r="C1619" s="4" t="s">
        <v>1526</v>
      </c>
      <c r="D1619" s="4" t="s">
        <v>3423</v>
      </c>
      <c r="E1619" s="4">
        <v>34676719457</v>
      </c>
      <c r="F1619" s="4" t="s">
        <v>1457</v>
      </c>
      <c r="G1619" s="32">
        <v>46146</v>
      </c>
      <c r="H1619" s="9" t="s">
        <v>856</v>
      </c>
      <c r="I1619" s="4" t="s">
        <v>459</v>
      </c>
      <c r="J1619" s="68" t="b">
        <v>1</v>
      </c>
      <c r="K1619" s="67" t="b">
        <v>1</v>
      </c>
      <c r="N1619" s="67" t="b">
        <v>1</v>
      </c>
      <c r="R1619" s="8"/>
      <c r="S1619" s="8"/>
    </row>
    <row r="1620" spans="1:24" ht="12.5">
      <c r="A1620" s="4" t="s">
        <v>381</v>
      </c>
      <c r="B1620" s="4" t="s">
        <v>398</v>
      </c>
      <c r="C1620" s="4" t="s">
        <v>2936</v>
      </c>
      <c r="E1620" s="4">
        <v>526862023784</v>
      </c>
      <c r="F1620" s="4" t="s">
        <v>3424</v>
      </c>
      <c r="G1620" s="32">
        <v>46146</v>
      </c>
      <c r="H1620" s="9" t="s">
        <v>956</v>
      </c>
      <c r="I1620" s="4" t="s">
        <v>459</v>
      </c>
      <c r="J1620" s="4"/>
      <c r="K1620" s="67" t="b">
        <v>1</v>
      </c>
      <c r="L1620" s="4"/>
      <c r="M1620" s="4"/>
      <c r="N1620" s="4"/>
      <c r="O1620" s="4"/>
      <c r="P1620" s="4"/>
      <c r="Q1620" s="4"/>
      <c r="R1620" s="8"/>
      <c r="S1620" s="8"/>
    </row>
    <row r="1621" spans="1:24" ht="12.5">
      <c r="A1621" s="4" t="s">
        <v>5</v>
      </c>
      <c r="B1621" s="4" t="s">
        <v>398</v>
      </c>
      <c r="C1621" s="4" t="s">
        <v>3425</v>
      </c>
      <c r="D1621" s="4" t="s">
        <v>3426</v>
      </c>
      <c r="E1621" s="4">
        <v>524772432404</v>
      </c>
      <c r="F1621" s="4" t="s">
        <v>3427</v>
      </c>
      <c r="G1621" s="32">
        <v>46147</v>
      </c>
      <c r="H1621" s="9" t="s">
        <v>856</v>
      </c>
      <c r="I1621" s="4" t="s">
        <v>459</v>
      </c>
      <c r="K1621" s="67" t="b">
        <v>1</v>
      </c>
      <c r="R1621" s="8"/>
      <c r="S1621" s="8"/>
    </row>
    <row r="1622" spans="1:24" ht="12.5">
      <c r="A1622" s="4" t="s">
        <v>381</v>
      </c>
      <c r="B1622" s="4" t="s">
        <v>398</v>
      </c>
      <c r="C1622" s="4" t="s">
        <v>3428</v>
      </c>
      <c r="E1622" s="4">
        <v>573214874117</v>
      </c>
      <c r="F1622" s="4" t="s">
        <v>2210</v>
      </c>
      <c r="G1622" s="32">
        <v>46147</v>
      </c>
      <c r="H1622" s="9" t="s">
        <v>956</v>
      </c>
      <c r="I1622" s="4" t="s">
        <v>459</v>
      </c>
      <c r="J1622" s="4"/>
      <c r="K1622" s="67" t="b">
        <v>1</v>
      </c>
      <c r="L1622" s="4"/>
      <c r="M1622" s="4"/>
      <c r="N1622" s="4"/>
      <c r="O1622" s="4"/>
      <c r="P1622" s="4"/>
      <c r="Q1622" s="4"/>
      <c r="R1622" s="8"/>
      <c r="S1622" s="8"/>
    </row>
    <row r="1623" spans="1:24" ht="12.5">
      <c r="A1623" s="4" t="s">
        <v>381</v>
      </c>
      <c r="B1623" s="4" t="s">
        <v>398</v>
      </c>
      <c r="C1623" s="4" t="s">
        <v>1278</v>
      </c>
      <c r="E1623" s="4">
        <v>526142216500</v>
      </c>
      <c r="F1623" s="4" t="s">
        <v>3429</v>
      </c>
      <c r="G1623" s="32">
        <v>46147</v>
      </c>
      <c r="H1623" s="9" t="s">
        <v>956</v>
      </c>
      <c r="I1623" s="4" t="s">
        <v>941</v>
      </c>
      <c r="J1623" s="4"/>
      <c r="K1623" s="67" t="b">
        <v>1</v>
      </c>
      <c r="L1623" s="4"/>
      <c r="M1623" s="4"/>
      <c r="N1623" s="4"/>
      <c r="O1623" s="4"/>
      <c r="P1623" s="4"/>
      <c r="Q1623" s="4"/>
      <c r="R1623" s="8"/>
      <c r="S1623" s="8"/>
    </row>
    <row r="1624" spans="1:24" ht="15.5">
      <c r="A1624" s="4" t="s">
        <v>381</v>
      </c>
      <c r="B1624" s="4" t="s">
        <v>119</v>
      </c>
      <c r="C1624" s="4" t="s">
        <v>3430</v>
      </c>
      <c r="E1624" s="4" t="s">
        <v>3431</v>
      </c>
      <c r="F1624" s="104" t="s">
        <v>2268</v>
      </c>
      <c r="G1624" s="32">
        <v>46147</v>
      </c>
      <c r="H1624" s="9" t="s">
        <v>956</v>
      </c>
      <c r="I1624" s="4" t="s">
        <v>459</v>
      </c>
      <c r="J1624" s="68" t="b">
        <v>1</v>
      </c>
      <c r="K1624" s="67" t="b">
        <v>1</v>
      </c>
      <c r="L1624" s="4"/>
      <c r="M1624" s="4"/>
      <c r="N1624" s="67" t="b">
        <v>1</v>
      </c>
      <c r="O1624" s="4"/>
      <c r="P1624" s="4"/>
      <c r="Q1624" s="4"/>
      <c r="R1624" s="8"/>
      <c r="S1624" s="8"/>
    </row>
    <row r="1625" spans="1:24" ht="15.5">
      <c r="A1625" s="4" t="s">
        <v>5</v>
      </c>
      <c r="B1625" s="4" t="s">
        <v>119</v>
      </c>
      <c r="C1625" s="4" t="s">
        <v>3432</v>
      </c>
      <c r="D1625" s="4" t="s">
        <v>3433</v>
      </c>
      <c r="E1625" s="4">
        <v>34676081499</v>
      </c>
      <c r="F1625" s="104" t="s">
        <v>3434</v>
      </c>
      <c r="G1625" s="32">
        <v>46147</v>
      </c>
      <c r="H1625" s="9" t="s">
        <v>856</v>
      </c>
      <c r="I1625" s="4" t="s">
        <v>459</v>
      </c>
      <c r="J1625" s="68" t="b">
        <v>1</v>
      </c>
      <c r="K1625" s="67" t="b">
        <v>1</v>
      </c>
      <c r="N1625" s="67" t="b">
        <v>1</v>
      </c>
      <c r="R1625" s="8"/>
      <c r="S1625" s="8"/>
    </row>
    <row r="1626" spans="1:24" ht="15.5">
      <c r="A1626" s="4" t="s">
        <v>381</v>
      </c>
      <c r="B1626" s="4" t="s">
        <v>398</v>
      </c>
      <c r="C1626" s="4" t="s">
        <v>3435</v>
      </c>
      <c r="D1626" s="4" t="s">
        <v>3436</v>
      </c>
      <c r="E1626" s="4">
        <v>34666773757</v>
      </c>
      <c r="F1626" s="104" t="s">
        <v>3437</v>
      </c>
      <c r="G1626" s="32">
        <v>46148</v>
      </c>
      <c r="H1626" s="9" t="s">
        <v>856</v>
      </c>
      <c r="I1626" s="4" t="s">
        <v>941</v>
      </c>
      <c r="J1626" s="68" t="b">
        <v>0</v>
      </c>
      <c r="K1626" s="67" t="b">
        <v>1</v>
      </c>
      <c r="R1626" s="8"/>
      <c r="S1626" s="8"/>
    </row>
    <row r="1627" spans="1:24" ht="15.5">
      <c r="A1627" s="4" t="s">
        <v>381</v>
      </c>
      <c r="B1627" s="4" t="s">
        <v>398</v>
      </c>
      <c r="C1627" s="4" t="s">
        <v>3435</v>
      </c>
      <c r="D1627" s="4" t="s">
        <v>3436</v>
      </c>
      <c r="E1627" s="4">
        <v>34666773757</v>
      </c>
      <c r="F1627" s="104" t="s">
        <v>3438</v>
      </c>
      <c r="G1627" s="32">
        <v>46148</v>
      </c>
      <c r="H1627" s="9" t="s">
        <v>856</v>
      </c>
      <c r="I1627" s="4" t="s">
        <v>941</v>
      </c>
      <c r="J1627" s="68" t="b">
        <v>0</v>
      </c>
      <c r="K1627" s="67" t="b">
        <v>1</v>
      </c>
      <c r="R1627" s="8"/>
      <c r="S1627" s="8"/>
    </row>
    <row r="1628" spans="1:24" ht="15.5">
      <c r="A1628" s="4" t="s">
        <v>5</v>
      </c>
      <c r="B1628" s="4" t="s">
        <v>398</v>
      </c>
      <c r="C1628" s="4" t="s">
        <v>3439</v>
      </c>
      <c r="D1628" s="4" t="s">
        <v>3440</v>
      </c>
      <c r="E1628" s="4">
        <v>34692913427</v>
      </c>
      <c r="F1628" s="104" t="s">
        <v>3441</v>
      </c>
      <c r="G1628" s="32">
        <v>46148</v>
      </c>
      <c r="H1628" s="9" t="s">
        <v>856</v>
      </c>
      <c r="I1628" s="4" t="s">
        <v>886</v>
      </c>
      <c r="J1628" s="68" t="b">
        <v>0</v>
      </c>
      <c r="K1628" s="67" t="b">
        <v>1</v>
      </c>
      <c r="L1628" s="68" t="b">
        <v>1</v>
      </c>
      <c r="R1628" s="8"/>
      <c r="S1628" s="8"/>
    </row>
    <row r="1629" spans="1:24" ht="12.5">
      <c r="A1629" s="4" t="s">
        <v>381</v>
      </c>
      <c r="B1629" s="4" t="s">
        <v>398</v>
      </c>
      <c r="C1629" s="4" t="s">
        <v>2936</v>
      </c>
      <c r="E1629" s="4" t="s">
        <v>3442</v>
      </c>
      <c r="F1629" s="4" t="s">
        <v>3438</v>
      </c>
      <c r="G1629" s="32">
        <v>46148</v>
      </c>
      <c r="H1629" s="9" t="s">
        <v>956</v>
      </c>
      <c r="I1629" s="4" t="s">
        <v>941</v>
      </c>
      <c r="J1629" s="4"/>
      <c r="K1629" s="67" t="b">
        <v>1</v>
      </c>
      <c r="L1629" s="4"/>
      <c r="M1629" s="4"/>
      <c r="N1629" s="4"/>
      <c r="O1629" s="4"/>
      <c r="P1629" s="4"/>
      <c r="Q1629" s="4"/>
      <c r="R1629" s="8"/>
      <c r="S1629" s="8"/>
    </row>
    <row r="1630" spans="1:24" ht="12.5">
      <c r="A1630" s="4" t="s">
        <v>381</v>
      </c>
      <c r="B1630" s="4" t="s">
        <v>119</v>
      </c>
      <c r="C1630" s="4" t="s">
        <v>3443</v>
      </c>
      <c r="D1630" s="4" t="s">
        <v>3444</v>
      </c>
      <c r="E1630" s="4">
        <v>34648623098</v>
      </c>
      <c r="F1630" s="4" t="s">
        <v>3445</v>
      </c>
      <c r="G1630" s="32">
        <v>46148</v>
      </c>
      <c r="H1630" s="9" t="s">
        <v>856</v>
      </c>
      <c r="I1630" s="4" t="s">
        <v>459</v>
      </c>
      <c r="K1630" s="67" t="b">
        <v>1</v>
      </c>
      <c r="N1630" s="67" t="b">
        <v>1</v>
      </c>
      <c r="R1630" s="8"/>
      <c r="S1630" s="8"/>
    </row>
    <row r="1631" spans="1:24" ht="12.5">
      <c r="B1631" s="4" t="s">
        <v>119</v>
      </c>
      <c r="C1631" s="4" t="s">
        <v>3446</v>
      </c>
      <c r="E1631" s="4" t="s">
        <v>3447</v>
      </c>
      <c r="F1631" s="4" t="s">
        <v>3448</v>
      </c>
      <c r="G1631" s="32">
        <v>46148</v>
      </c>
      <c r="H1631" s="9" t="s">
        <v>956</v>
      </c>
      <c r="I1631" s="4" t="s">
        <v>459</v>
      </c>
      <c r="J1631" s="4"/>
      <c r="K1631" s="67" t="b">
        <v>1</v>
      </c>
      <c r="L1631" s="4"/>
      <c r="M1631" s="4"/>
      <c r="N1631" s="67" t="b">
        <v>1</v>
      </c>
      <c r="O1631" s="4"/>
      <c r="P1631" s="4"/>
      <c r="Q1631" s="4"/>
      <c r="R1631" s="8"/>
      <c r="S1631" s="8"/>
    </row>
    <row r="1632" spans="1:24" ht="12.5">
      <c r="A1632" s="4" t="s">
        <v>381</v>
      </c>
      <c r="B1632" s="4" t="s">
        <v>398</v>
      </c>
      <c r="C1632" s="4" t="s">
        <v>418</v>
      </c>
      <c r="D1632" s="4" t="s">
        <v>419</v>
      </c>
      <c r="E1632" s="4">
        <v>684747827</v>
      </c>
      <c r="F1632" s="4" t="s">
        <v>420</v>
      </c>
      <c r="G1632" s="32">
        <v>46148</v>
      </c>
      <c r="H1632" s="9" t="s">
        <v>856</v>
      </c>
      <c r="I1632" s="4" t="s">
        <v>448</v>
      </c>
      <c r="K1632" s="67" t="b">
        <v>1</v>
      </c>
      <c r="L1632" s="68" t="b">
        <v>1</v>
      </c>
      <c r="R1632" s="8"/>
      <c r="S1632" s="4" t="s">
        <v>398</v>
      </c>
      <c r="T1632" s="16">
        <v>46153</v>
      </c>
      <c r="U1632" s="6">
        <v>157.5</v>
      </c>
      <c r="V1632" s="7">
        <v>0.1</v>
      </c>
      <c r="W1632" s="4">
        <v>2</v>
      </c>
      <c r="X1632" s="8">
        <v>46054</v>
      </c>
    </row>
    <row r="1633" spans="1:24" ht="12.5">
      <c r="A1633" s="4" t="s">
        <v>5</v>
      </c>
      <c r="B1633" s="4" t="s">
        <v>119</v>
      </c>
      <c r="C1633" s="4" t="s">
        <v>3449</v>
      </c>
      <c r="D1633" s="4" t="s">
        <v>3450</v>
      </c>
      <c r="E1633" s="4">
        <v>34638210251</v>
      </c>
      <c r="F1633" s="4" t="s">
        <v>3451</v>
      </c>
      <c r="G1633" s="32">
        <v>46148</v>
      </c>
      <c r="H1633" s="9" t="s">
        <v>856</v>
      </c>
      <c r="I1633" s="4" t="s">
        <v>459</v>
      </c>
      <c r="K1633" s="67" t="b">
        <v>1</v>
      </c>
      <c r="R1633" s="8"/>
      <c r="S1633" s="8"/>
    </row>
    <row r="1634" spans="1:24" ht="12.5">
      <c r="A1634" s="4" t="s">
        <v>381</v>
      </c>
      <c r="B1634" s="4" t="s">
        <v>398</v>
      </c>
      <c r="C1634" s="4" t="s">
        <v>3452</v>
      </c>
      <c r="D1634" s="4" t="s">
        <v>3453</v>
      </c>
      <c r="E1634" s="4">
        <v>18295854530</v>
      </c>
      <c r="F1634" s="4" t="s">
        <v>2178</v>
      </c>
      <c r="G1634" s="87">
        <v>46148</v>
      </c>
      <c r="H1634" s="9" t="s">
        <v>856</v>
      </c>
      <c r="I1634" s="4" t="s">
        <v>459</v>
      </c>
      <c r="K1634" s="67" t="b">
        <v>1</v>
      </c>
      <c r="R1634" s="8"/>
      <c r="S1634" s="8"/>
    </row>
    <row r="1635" spans="1:24" ht="12.5">
      <c r="A1635" s="4" t="s">
        <v>5</v>
      </c>
      <c r="B1635" s="4" t="s">
        <v>398</v>
      </c>
      <c r="C1635" s="4" t="s">
        <v>3454</v>
      </c>
      <c r="E1635" s="4" t="s">
        <v>3455</v>
      </c>
      <c r="F1635" s="4" t="s">
        <v>3456</v>
      </c>
      <c r="G1635" s="32">
        <v>46148</v>
      </c>
      <c r="H1635" s="9" t="s">
        <v>956</v>
      </c>
      <c r="I1635" s="4" t="s">
        <v>459</v>
      </c>
      <c r="J1635" s="4"/>
      <c r="K1635" s="67" t="b">
        <v>1</v>
      </c>
      <c r="L1635" s="4"/>
      <c r="M1635" s="4"/>
      <c r="N1635" s="4"/>
      <c r="O1635" s="4"/>
      <c r="P1635" s="4"/>
      <c r="Q1635" s="4"/>
      <c r="R1635" s="8"/>
      <c r="S1635" s="8"/>
    </row>
    <row r="1636" spans="1:24" ht="12.5">
      <c r="A1636" s="4" t="s">
        <v>381</v>
      </c>
      <c r="B1636" s="4" t="s">
        <v>119</v>
      </c>
      <c r="C1636" s="4" t="s">
        <v>3457</v>
      </c>
      <c r="D1636" s="4" t="s">
        <v>3458</v>
      </c>
      <c r="E1636" s="4" t="s">
        <v>3459</v>
      </c>
      <c r="F1636" s="4" t="s">
        <v>1835</v>
      </c>
      <c r="G1636" s="32">
        <v>46149</v>
      </c>
      <c r="H1636" s="9" t="s">
        <v>856</v>
      </c>
      <c r="I1636" s="4" t="s">
        <v>459</v>
      </c>
      <c r="K1636" s="67" t="b">
        <v>1</v>
      </c>
      <c r="N1636" s="67" t="b">
        <v>1</v>
      </c>
      <c r="R1636" s="8"/>
      <c r="S1636" s="8"/>
    </row>
    <row r="1637" spans="1:24" ht="12.5">
      <c r="A1637" s="4" t="s">
        <v>5</v>
      </c>
      <c r="B1637" s="4" t="s">
        <v>398</v>
      </c>
      <c r="C1637" s="4" t="s">
        <v>3460</v>
      </c>
      <c r="D1637" s="4" t="s">
        <v>3461</v>
      </c>
      <c r="E1637" s="4">
        <v>491773572652</v>
      </c>
      <c r="F1637" s="4" t="s">
        <v>3462</v>
      </c>
      <c r="G1637" s="32">
        <v>46149</v>
      </c>
      <c r="H1637" s="9" t="s">
        <v>856</v>
      </c>
      <c r="I1637" s="4" t="s">
        <v>941</v>
      </c>
      <c r="K1637" s="67" t="b">
        <v>1</v>
      </c>
      <c r="R1637" s="8"/>
      <c r="S1637" s="8"/>
    </row>
    <row r="1638" spans="1:24" ht="12.5">
      <c r="A1638" s="4" t="s">
        <v>381</v>
      </c>
      <c r="B1638" s="4" t="s">
        <v>398</v>
      </c>
      <c r="C1638" s="4" t="s">
        <v>3463</v>
      </c>
      <c r="E1638" s="4" t="s">
        <v>3464</v>
      </c>
      <c r="F1638" s="4" t="s">
        <v>2869</v>
      </c>
      <c r="G1638" s="32">
        <v>46149</v>
      </c>
      <c r="H1638" s="9" t="s">
        <v>956</v>
      </c>
      <c r="I1638" s="4" t="s">
        <v>941</v>
      </c>
      <c r="J1638" s="4"/>
      <c r="K1638" s="67" t="b">
        <v>1</v>
      </c>
      <c r="L1638" s="4"/>
      <c r="M1638" s="4"/>
      <c r="N1638" s="4"/>
      <c r="O1638" s="4"/>
      <c r="P1638" s="4"/>
      <c r="Q1638" s="4"/>
      <c r="R1638" s="8"/>
      <c r="S1638" s="8"/>
    </row>
    <row r="1639" spans="1:24" ht="12.5">
      <c r="A1639" s="4" t="s">
        <v>5</v>
      </c>
      <c r="B1639" s="4" t="s">
        <v>398</v>
      </c>
      <c r="C1639" s="4" t="s">
        <v>3465</v>
      </c>
      <c r="E1639" s="4">
        <v>573124094698</v>
      </c>
      <c r="F1639" s="4" t="s">
        <v>3462</v>
      </c>
      <c r="G1639" s="32">
        <v>46149</v>
      </c>
      <c r="H1639" s="9" t="s">
        <v>956</v>
      </c>
      <c r="I1639" s="4" t="s">
        <v>459</v>
      </c>
      <c r="J1639" s="68" t="b">
        <v>1</v>
      </c>
      <c r="K1639" s="67" t="b">
        <v>1</v>
      </c>
      <c r="L1639" s="4"/>
      <c r="M1639" s="4"/>
      <c r="N1639" s="4"/>
      <c r="O1639" s="4"/>
      <c r="P1639" s="4"/>
      <c r="Q1639" s="4"/>
      <c r="R1639" s="8"/>
      <c r="S1639" s="8"/>
    </row>
    <row r="1640" spans="1:24" ht="12.5">
      <c r="A1640" s="4" t="s">
        <v>5</v>
      </c>
      <c r="B1640" s="4" t="s">
        <v>119</v>
      </c>
      <c r="C1640" s="4" t="s">
        <v>3466</v>
      </c>
      <c r="E1640" s="4" t="s">
        <v>3467</v>
      </c>
      <c r="F1640" s="4" t="s">
        <v>307</v>
      </c>
      <c r="G1640" s="32">
        <v>46149</v>
      </c>
      <c r="H1640" s="9" t="s">
        <v>956</v>
      </c>
      <c r="I1640" s="4" t="s">
        <v>459</v>
      </c>
      <c r="J1640" s="4"/>
      <c r="K1640" s="67" t="b">
        <v>1</v>
      </c>
      <c r="L1640" s="4"/>
      <c r="M1640" s="4"/>
      <c r="N1640" s="67" t="b">
        <v>1</v>
      </c>
      <c r="O1640" s="4"/>
      <c r="P1640" s="4"/>
      <c r="Q1640" s="4"/>
      <c r="R1640" s="8"/>
      <c r="S1640" s="8"/>
    </row>
    <row r="1641" spans="1:24" ht="12.5">
      <c r="A1641" s="4" t="s">
        <v>5</v>
      </c>
      <c r="B1641" s="4" t="s">
        <v>119</v>
      </c>
      <c r="C1641" s="4" t="s">
        <v>2553</v>
      </c>
      <c r="D1641" s="4" t="s">
        <v>413</v>
      </c>
      <c r="E1641" s="4">
        <v>34645757223</v>
      </c>
      <c r="F1641" s="4" t="s">
        <v>401</v>
      </c>
      <c r="G1641" s="32">
        <v>46149</v>
      </c>
      <c r="H1641" s="9" t="s">
        <v>856</v>
      </c>
      <c r="I1641" s="4" t="s">
        <v>459</v>
      </c>
      <c r="K1641" s="67" t="b">
        <v>1</v>
      </c>
      <c r="N1641" s="67" t="b">
        <v>1</v>
      </c>
      <c r="R1641" s="8"/>
      <c r="S1641" s="8"/>
    </row>
    <row r="1642" spans="1:24" ht="12.5">
      <c r="A1642" s="4" t="s">
        <v>5</v>
      </c>
      <c r="B1642" s="4" t="s">
        <v>119</v>
      </c>
      <c r="C1642" s="4" t="s">
        <v>3468</v>
      </c>
      <c r="D1642" s="4" t="s">
        <v>413</v>
      </c>
      <c r="E1642" s="4">
        <v>34645757223</v>
      </c>
      <c r="F1642" s="4" t="s">
        <v>211</v>
      </c>
      <c r="G1642" s="32">
        <v>46149</v>
      </c>
      <c r="H1642" s="9" t="s">
        <v>856</v>
      </c>
      <c r="I1642" s="4" t="s">
        <v>448</v>
      </c>
      <c r="K1642" s="67" t="b">
        <v>1</v>
      </c>
      <c r="R1642" s="8"/>
      <c r="S1642" s="4" t="s">
        <v>119</v>
      </c>
      <c r="T1642" s="33">
        <v>46150</v>
      </c>
      <c r="U1642" s="6">
        <v>122.5</v>
      </c>
      <c r="V1642" s="7">
        <v>0.3</v>
      </c>
      <c r="W1642" s="4">
        <v>2</v>
      </c>
      <c r="X1642" s="8">
        <v>46054</v>
      </c>
    </row>
    <row r="1643" spans="1:24" ht="12.5">
      <c r="A1643" s="4" t="s">
        <v>240</v>
      </c>
      <c r="B1643" s="4" t="s">
        <v>119</v>
      </c>
      <c r="C1643" s="4" t="s">
        <v>3469</v>
      </c>
      <c r="D1643" s="4" t="s">
        <v>3470</v>
      </c>
      <c r="E1643" s="4">
        <v>35699939581</v>
      </c>
      <c r="F1643" s="4" t="s">
        <v>3471</v>
      </c>
      <c r="G1643" s="32">
        <v>46149</v>
      </c>
      <c r="H1643" s="9" t="s">
        <v>856</v>
      </c>
      <c r="I1643" s="4" t="s">
        <v>459</v>
      </c>
      <c r="K1643" s="67" t="b">
        <v>1</v>
      </c>
      <c r="N1643" s="67" t="b">
        <v>1</v>
      </c>
      <c r="R1643" s="8"/>
      <c r="S1643" s="8"/>
    </row>
    <row r="1644" spans="1:24" ht="12.5">
      <c r="A1644" s="4" t="s">
        <v>240</v>
      </c>
      <c r="B1644" s="4" t="s">
        <v>398</v>
      </c>
      <c r="C1644" s="4" t="s">
        <v>3472</v>
      </c>
      <c r="D1644" s="4" t="s">
        <v>416</v>
      </c>
      <c r="E1644" s="4">
        <v>34667783744</v>
      </c>
      <c r="F1644" s="4" t="s">
        <v>417</v>
      </c>
      <c r="G1644" s="32">
        <v>46149</v>
      </c>
      <c r="H1644" s="9" t="s">
        <v>856</v>
      </c>
      <c r="I1644" s="4" t="s">
        <v>448</v>
      </c>
      <c r="J1644" s="68" t="b">
        <v>1</v>
      </c>
      <c r="K1644" s="67" t="b">
        <v>1</v>
      </c>
      <c r="R1644" s="8"/>
      <c r="S1644" s="4" t="s">
        <v>398</v>
      </c>
      <c r="T1644" s="5">
        <v>46151</v>
      </c>
      <c r="U1644" s="6">
        <v>300</v>
      </c>
      <c r="V1644" s="7">
        <v>0.2</v>
      </c>
      <c r="W1644" s="4">
        <v>6</v>
      </c>
      <c r="X1644" s="4" t="s">
        <v>355</v>
      </c>
    </row>
    <row r="1645" spans="1:24" ht="12.5">
      <c r="A1645" s="4" t="s">
        <v>5</v>
      </c>
      <c r="B1645" s="4" t="s">
        <v>119</v>
      </c>
      <c r="C1645" s="4" t="s">
        <v>663</v>
      </c>
      <c r="D1645" s="4" t="s">
        <v>457</v>
      </c>
      <c r="E1645" s="4">
        <v>34722134659</v>
      </c>
      <c r="F1645" s="4" t="s">
        <v>3473</v>
      </c>
      <c r="G1645" s="32">
        <v>46149</v>
      </c>
      <c r="H1645" s="9" t="s">
        <v>856</v>
      </c>
      <c r="I1645" s="4" t="s">
        <v>2646</v>
      </c>
      <c r="R1645" s="8"/>
      <c r="S1645" s="8"/>
    </row>
    <row r="1646" spans="1:24" ht="12.5">
      <c r="A1646" s="4" t="s">
        <v>5</v>
      </c>
      <c r="B1646" s="4" t="s">
        <v>398</v>
      </c>
      <c r="C1646" s="4" t="s">
        <v>2628</v>
      </c>
      <c r="E1646" s="4" t="s">
        <v>3474</v>
      </c>
      <c r="F1646" s="4" t="s">
        <v>56</v>
      </c>
      <c r="G1646" s="32">
        <v>46149</v>
      </c>
      <c r="H1646" s="9" t="s">
        <v>956</v>
      </c>
      <c r="I1646" s="4" t="s">
        <v>459</v>
      </c>
      <c r="J1646" s="4"/>
      <c r="K1646" s="67" t="b">
        <v>1</v>
      </c>
      <c r="L1646" s="4"/>
      <c r="M1646" s="4"/>
      <c r="N1646" s="4"/>
      <c r="O1646" s="4"/>
      <c r="P1646" s="4"/>
      <c r="Q1646" s="4"/>
      <c r="R1646" s="8"/>
      <c r="S1646" s="8"/>
    </row>
    <row r="1647" spans="1:24" ht="12.5">
      <c r="A1647" s="4" t="s">
        <v>5</v>
      </c>
      <c r="B1647" s="4" t="s">
        <v>398</v>
      </c>
      <c r="C1647" s="4" t="s">
        <v>407</v>
      </c>
      <c r="D1647" s="4" t="s">
        <v>408</v>
      </c>
      <c r="E1647" s="4">
        <v>573113013847</v>
      </c>
      <c r="F1647" s="4" t="s">
        <v>409</v>
      </c>
      <c r="G1647" s="32">
        <v>46149</v>
      </c>
      <c r="H1647" s="9" t="s">
        <v>856</v>
      </c>
      <c r="I1647" s="4" t="s">
        <v>448</v>
      </c>
      <c r="K1647" s="67" t="b">
        <v>1</v>
      </c>
      <c r="R1647" s="8"/>
      <c r="S1647" s="4" t="s">
        <v>398</v>
      </c>
      <c r="T1647" s="5">
        <v>46149</v>
      </c>
      <c r="U1647" s="6">
        <v>300</v>
      </c>
      <c r="V1647" s="6">
        <v>0</v>
      </c>
      <c r="W1647" s="4">
        <v>6</v>
      </c>
      <c r="X1647" s="4" t="s">
        <v>355</v>
      </c>
    </row>
    <row r="1648" spans="1:24" ht="12.5">
      <c r="A1648" s="4" t="s">
        <v>240</v>
      </c>
      <c r="B1648" s="4" t="s">
        <v>119</v>
      </c>
      <c r="C1648" s="4" t="s">
        <v>3475</v>
      </c>
      <c r="D1648" s="4" t="s">
        <v>3476</v>
      </c>
      <c r="E1648" s="4">
        <v>34648489510</v>
      </c>
      <c r="F1648" s="4" t="s">
        <v>3477</v>
      </c>
      <c r="G1648" s="32">
        <v>46149</v>
      </c>
      <c r="H1648" s="9" t="s">
        <v>856</v>
      </c>
      <c r="I1648" s="4" t="s">
        <v>459</v>
      </c>
      <c r="K1648" s="67" t="b">
        <v>1</v>
      </c>
      <c r="N1648" s="67" t="b">
        <v>1</v>
      </c>
      <c r="R1648" s="8"/>
      <c r="S1648" s="4"/>
      <c r="T1648" s="5"/>
      <c r="U1648" s="6"/>
      <c r="V1648" s="6"/>
      <c r="W1648" s="4"/>
      <c r="X1648" s="4"/>
    </row>
    <row r="1649" spans="1:24" ht="12.5">
      <c r="A1649" s="4" t="s">
        <v>5</v>
      </c>
      <c r="B1649" s="4" t="s">
        <v>119</v>
      </c>
      <c r="C1649" s="4" t="s">
        <v>3478</v>
      </c>
      <c r="E1649" s="4" t="s">
        <v>3479</v>
      </c>
      <c r="F1649" s="4" t="s">
        <v>3480</v>
      </c>
      <c r="G1649" s="32">
        <v>46149</v>
      </c>
      <c r="H1649" s="9" t="s">
        <v>956</v>
      </c>
      <c r="I1649" s="4" t="s">
        <v>459</v>
      </c>
      <c r="J1649" s="4"/>
      <c r="K1649" s="67" t="b">
        <v>1</v>
      </c>
      <c r="L1649" s="4"/>
      <c r="M1649" s="4"/>
      <c r="N1649" s="67" t="b">
        <v>1</v>
      </c>
      <c r="O1649" s="4"/>
      <c r="P1649" s="4"/>
      <c r="Q1649" s="4"/>
      <c r="R1649" s="8"/>
      <c r="S1649" s="8"/>
    </row>
    <row r="1650" spans="1:24" ht="12.5">
      <c r="A1650" s="4" t="s">
        <v>5</v>
      </c>
      <c r="B1650" s="4" t="s">
        <v>398</v>
      </c>
      <c r="C1650" s="4" t="s">
        <v>3481</v>
      </c>
      <c r="D1650" s="4" t="s">
        <v>3482</v>
      </c>
      <c r="E1650" s="4">
        <v>51977640460</v>
      </c>
      <c r="F1650" s="4" t="s">
        <v>1480</v>
      </c>
      <c r="G1650" s="32">
        <v>46149</v>
      </c>
      <c r="H1650" s="9" t="s">
        <v>856</v>
      </c>
      <c r="I1650" s="4" t="s">
        <v>941</v>
      </c>
      <c r="K1650" s="67" t="b">
        <v>1</v>
      </c>
      <c r="R1650" s="8"/>
      <c r="S1650" s="8"/>
    </row>
    <row r="1651" spans="1:24" ht="12.5">
      <c r="A1651" s="4" t="s">
        <v>381</v>
      </c>
      <c r="B1651" s="4" t="s">
        <v>398</v>
      </c>
      <c r="C1651" s="4" t="s">
        <v>2936</v>
      </c>
      <c r="E1651" s="4" t="s">
        <v>3483</v>
      </c>
      <c r="F1651" s="4" t="s">
        <v>3484</v>
      </c>
      <c r="G1651" s="32">
        <v>46150</v>
      </c>
      <c r="H1651" s="9" t="s">
        <v>956</v>
      </c>
      <c r="I1651" s="4" t="s">
        <v>459</v>
      </c>
      <c r="J1651" s="4"/>
      <c r="K1651" s="67" t="b">
        <v>1</v>
      </c>
      <c r="L1651" s="4"/>
      <c r="M1651" s="4"/>
      <c r="N1651" s="4"/>
      <c r="O1651" s="4"/>
      <c r="P1651" s="4"/>
      <c r="Q1651" s="4"/>
      <c r="R1651" s="8"/>
      <c r="S1651" s="8"/>
    </row>
    <row r="1652" spans="1:24" ht="12.5">
      <c r="A1652" s="4" t="s">
        <v>5</v>
      </c>
      <c r="B1652" s="4" t="s">
        <v>398</v>
      </c>
      <c r="C1652" s="4" t="s">
        <v>3485</v>
      </c>
      <c r="E1652" s="4" t="s">
        <v>3486</v>
      </c>
      <c r="F1652" s="4" t="s">
        <v>3487</v>
      </c>
      <c r="G1652" s="32">
        <v>46150</v>
      </c>
      <c r="H1652" s="9" t="s">
        <v>956</v>
      </c>
      <c r="I1652" s="4" t="s">
        <v>941</v>
      </c>
      <c r="J1652" s="4"/>
      <c r="K1652" s="67" t="b">
        <v>1</v>
      </c>
      <c r="L1652" s="4"/>
      <c r="M1652" s="4"/>
      <c r="N1652" s="4"/>
      <c r="O1652" s="4"/>
      <c r="P1652" s="4"/>
      <c r="Q1652" s="4"/>
      <c r="R1652" s="8"/>
      <c r="S1652" s="8"/>
    </row>
    <row r="1653" spans="1:24" ht="12.5">
      <c r="A1653" s="4" t="s">
        <v>381</v>
      </c>
      <c r="B1653" s="4" t="s">
        <v>398</v>
      </c>
      <c r="C1653" s="4" t="s">
        <v>3488</v>
      </c>
      <c r="E1653" s="4" t="s">
        <v>3489</v>
      </c>
      <c r="F1653" s="4" t="s">
        <v>3490</v>
      </c>
      <c r="G1653" s="32">
        <v>46150</v>
      </c>
      <c r="H1653" s="9" t="s">
        <v>956</v>
      </c>
      <c r="I1653" s="4" t="s">
        <v>459</v>
      </c>
      <c r="J1653" s="68" t="b">
        <v>1</v>
      </c>
      <c r="K1653" s="67" t="b">
        <v>1</v>
      </c>
      <c r="L1653" s="4"/>
      <c r="M1653" s="4"/>
      <c r="N1653" s="4"/>
      <c r="O1653" s="4"/>
      <c r="P1653" s="4"/>
      <c r="Q1653" s="4"/>
      <c r="R1653" s="8"/>
      <c r="S1653" s="8"/>
    </row>
    <row r="1654" spans="1:24" ht="12.5">
      <c r="A1654" s="4" t="s">
        <v>381</v>
      </c>
      <c r="B1654" s="4" t="s">
        <v>119</v>
      </c>
      <c r="C1654" s="4" t="s">
        <v>3491</v>
      </c>
      <c r="E1654" s="4" t="s">
        <v>3492</v>
      </c>
      <c r="F1654" s="4" t="s">
        <v>2411</v>
      </c>
      <c r="G1654" s="32">
        <v>46150</v>
      </c>
      <c r="H1654" s="9" t="s">
        <v>956</v>
      </c>
      <c r="I1654" s="4" t="s">
        <v>459</v>
      </c>
      <c r="J1654" s="4"/>
      <c r="K1654" s="67" t="b">
        <v>1</v>
      </c>
      <c r="L1654" s="4"/>
      <c r="M1654" s="4"/>
      <c r="N1654" s="4"/>
      <c r="O1654" s="4"/>
      <c r="P1654" s="4"/>
      <c r="Q1654" s="4"/>
      <c r="R1654" s="8"/>
      <c r="S1654" s="8"/>
    </row>
    <row r="1655" spans="1:24" ht="12.5">
      <c r="A1655" s="4" t="s">
        <v>5</v>
      </c>
      <c r="B1655" s="4" t="s">
        <v>398</v>
      </c>
      <c r="C1655" s="4" t="s">
        <v>3493</v>
      </c>
      <c r="E1655" s="4" t="s">
        <v>3494</v>
      </c>
      <c r="F1655" s="4" t="s">
        <v>3495</v>
      </c>
      <c r="G1655" s="32">
        <v>46150</v>
      </c>
      <c r="H1655" s="9" t="s">
        <v>956</v>
      </c>
      <c r="I1655" s="4" t="s">
        <v>459</v>
      </c>
      <c r="J1655" s="4"/>
      <c r="K1655" s="67" t="b">
        <v>1</v>
      </c>
      <c r="L1655" s="4"/>
      <c r="M1655" s="4"/>
      <c r="N1655" s="4"/>
      <c r="O1655" s="4"/>
      <c r="P1655" s="4"/>
      <c r="Q1655" s="4"/>
      <c r="R1655" s="8"/>
      <c r="S1655" s="8"/>
    </row>
    <row r="1656" spans="1:24" ht="12.5">
      <c r="A1656" s="4" t="s">
        <v>5</v>
      </c>
      <c r="B1656" s="4" t="s">
        <v>398</v>
      </c>
      <c r="C1656" s="4" t="s">
        <v>3496</v>
      </c>
      <c r="E1656" s="4" t="s">
        <v>3497</v>
      </c>
      <c r="F1656" s="4" t="s">
        <v>267</v>
      </c>
      <c r="G1656" s="32">
        <v>46150</v>
      </c>
      <c r="H1656" s="9" t="s">
        <v>956</v>
      </c>
      <c r="I1656" s="4" t="s">
        <v>459</v>
      </c>
      <c r="J1656" s="4"/>
      <c r="K1656" s="4"/>
      <c r="L1656" s="4"/>
      <c r="M1656" s="4"/>
      <c r="N1656" s="4"/>
      <c r="O1656" s="4"/>
      <c r="P1656" s="4"/>
      <c r="Q1656" s="4"/>
      <c r="R1656" s="8"/>
      <c r="S1656" s="8"/>
    </row>
    <row r="1657" spans="1:24" ht="12.5">
      <c r="A1657" s="4" t="s">
        <v>5</v>
      </c>
      <c r="B1657" s="4" t="s">
        <v>119</v>
      </c>
      <c r="C1657" s="4" t="s">
        <v>3498</v>
      </c>
      <c r="E1657" s="4" t="s">
        <v>3499</v>
      </c>
      <c r="F1657" s="4" t="s">
        <v>3500</v>
      </c>
      <c r="G1657" s="32">
        <v>46150</v>
      </c>
      <c r="H1657" s="9" t="s">
        <v>956</v>
      </c>
      <c r="I1657" s="4" t="s">
        <v>459</v>
      </c>
      <c r="J1657" s="4"/>
      <c r="K1657" s="67" t="b">
        <v>1</v>
      </c>
      <c r="L1657" s="4"/>
      <c r="M1657" s="4"/>
      <c r="N1657" s="67" t="b">
        <v>1</v>
      </c>
      <c r="O1657" s="4"/>
      <c r="P1657" s="4"/>
      <c r="Q1657" s="4"/>
      <c r="R1657" s="8"/>
      <c r="S1657" s="8"/>
    </row>
    <row r="1658" spans="1:24" ht="12.5">
      <c r="A1658" s="4" t="s">
        <v>5</v>
      </c>
      <c r="B1658" s="4" t="s">
        <v>119</v>
      </c>
      <c r="C1658" s="4" t="s">
        <v>2124</v>
      </c>
      <c r="E1658" s="4" t="s">
        <v>3501</v>
      </c>
      <c r="G1658" s="32">
        <v>46150</v>
      </c>
      <c r="H1658" s="9" t="s">
        <v>979</v>
      </c>
      <c r="I1658" s="4" t="s">
        <v>459</v>
      </c>
      <c r="J1658" s="4"/>
      <c r="K1658" s="67" t="b">
        <v>1</v>
      </c>
      <c r="L1658" s="4"/>
      <c r="M1658" s="4"/>
      <c r="N1658" s="67" t="b">
        <v>1</v>
      </c>
      <c r="O1658" s="4"/>
      <c r="P1658" s="4"/>
      <c r="Q1658" s="4"/>
      <c r="R1658" s="8"/>
      <c r="S1658" s="8"/>
    </row>
    <row r="1659" spans="1:24" ht="12.5">
      <c r="A1659" s="4" t="s">
        <v>381</v>
      </c>
      <c r="B1659" s="4" t="s">
        <v>119</v>
      </c>
      <c r="C1659" s="4" t="s">
        <v>3502</v>
      </c>
      <c r="D1659" s="4" t="s">
        <v>3503</v>
      </c>
      <c r="E1659" s="4">
        <v>59170633523</v>
      </c>
      <c r="F1659" s="4" t="s">
        <v>2416</v>
      </c>
      <c r="G1659" s="32">
        <v>46150</v>
      </c>
      <c r="H1659" s="9" t="s">
        <v>856</v>
      </c>
      <c r="I1659" s="4" t="s">
        <v>459</v>
      </c>
      <c r="K1659" s="67" t="b">
        <v>0</v>
      </c>
      <c r="L1659" s="68" t="b">
        <v>1</v>
      </c>
      <c r="R1659" s="8"/>
      <c r="S1659" s="8"/>
    </row>
    <row r="1660" spans="1:24" ht="12.5">
      <c r="A1660" s="4" t="s">
        <v>5</v>
      </c>
      <c r="B1660" s="4" t="s">
        <v>398</v>
      </c>
      <c r="C1660" s="4" t="s">
        <v>3504</v>
      </c>
      <c r="D1660" s="4" t="s">
        <v>3505</v>
      </c>
      <c r="E1660" s="4">
        <v>34619740240</v>
      </c>
      <c r="F1660" s="4" t="s">
        <v>1965</v>
      </c>
      <c r="G1660" s="32">
        <v>46151</v>
      </c>
      <c r="H1660" s="9" t="s">
        <v>856</v>
      </c>
      <c r="I1660" s="4" t="s">
        <v>941</v>
      </c>
      <c r="K1660" s="67" t="b">
        <v>1</v>
      </c>
      <c r="R1660" s="8"/>
      <c r="S1660" s="8"/>
    </row>
    <row r="1661" spans="1:24" ht="12.5">
      <c r="A1661" s="4" t="s">
        <v>5</v>
      </c>
      <c r="B1661" s="4" t="s">
        <v>119</v>
      </c>
      <c r="C1661" s="4" t="s">
        <v>424</v>
      </c>
      <c r="D1661" s="4" t="s">
        <v>425</v>
      </c>
      <c r="E1661" s="4">
        <v>34627023970</v>
      </c>
      <c r="F1661" s="4" t="s">
        <v>426</v>
      </c>
      <c r="G1661" s="32">
        <v>46151</v>
      </c>
      <c r="H1661" s="9" t="s">
        <v>856</v>
      </c>
      <c r="I1661" s="4" t="s">
        <v>448</v>
      </c>
      <c r="K1661" s="67" t="b">
        <v>1</v>
      </c>
      <c r="N1661" s="67" t="b">
        <v>1</v>
      </c>
      <c r="R1661" s="8"/>
      <c r="S1661" s="4" t="s">
        <v>119</v>
      </c>
      <c r="T1661" s="33">
        <v>46154</v>
      </c>
      <c r="U1661" s="6">
        <v>375</v>
      </c>
      <c r="V1661" s="4">
        <v>0</v>
      </c>
      <c r="W1661" s="4">
        <v>2</v>
      </c>
      <c r="X1661" s="8">
        <v>46054</v>
      </c>
    </row>
    <row r="1662" spans="1:24" ht="12.5">
      <c r="A1662" s="4" t="s">
        <v>381</v>
      </c>
      <c r="B1662" s="4" t="s">
        <v>398</v>
      </c>
      <c r="C1662" s="4" t="s">
        <v>3506</v>
      </c>
      <c r="D1662" s="4" t="s">
        <v>3073</v>
      </c>
      <c r="E1662" s="4">
        <v>584242439474</v>
      </c>
      <c r="F1662" s="4"/>
      <c r="G1662" s="32">
        <v>46151</v>
      </c>
      <c r="H1662" s="9" t="s">
        <v>856</v>
      </c>
      <c r="I1662" s="4" t="s">
        <v>1431</v>
      </c>
      <c r="K1662" s="67" t="b">
        <v>0</v>
      </c>
      <c r="R1662" s="8"/>
      <c r="S1662" s="8"/>
    </row>
    <row r="1663" spans="1:24" ht="12.5">
      <c r="A1663" s="4" t="s">
        <v>381</v>
      </c>
      <c r="B1663" s="4" t="s">
        <v>119</v>
      </c>
      <c r="C1663" s="4" t="s">
        <v>3506</v>
      </c>
      <c r="D1663" s="4" t="s">
        <v>3073</v>
      </c>
      <c r="E1663" s="4">
        <v>584242439474</v>
      </c>
      <c r="F1663" s="4"/>
      <c r="G1663" s="32">
        <v>46151</v>
      </c>
      <c r="H1663" s="9" t="s">
        <v>856</v>
      </c>
      <c r="I1663" s="4" t="s">
        <v>1431</v>
      </c>
      <c r="K1663" s="67" t="b">
        <v>0</v>
      </c>
      <c r="R1663" s="8"/>
      <c r="S1663" s="8"/>
    </row>
    <row r="1664" spans="1:24" ht="12.5">
      <c r="A1664" s="4" t="s">
        <v>381</v>
      </c>
      <c r="B1664" s="4" t="s">
        <v>398</v>
      </c>
      <c r="C1664" s="4" t="s">
        <v>3506</v>
      </c>
      <c r="D1664" s="4" t="s">
        <v>3073</v>
      </c>
      <c r="E1664" s="4">
        <v>584242439474</v>
      </c>
      <c r="F1664" s="4" t="s">
        <v>3507</v>
      </c>
      <c r="G1664" s="32">
        <v>46151</v>
      </c>
      <c r="H1664" s="9" t="s">
        <v>856</v>
      </c>
      <c r="I1664" s="4" t="s">
        <v>1431</v>
      </c>
      <c r="K1664" s="67" t="b">
        <v>0</v>
      </c>
      <c r="R1664" s="8"/>
      <c r="S1664" s="8"/>
    </row>
    <row r="1665" spans="1:24" ht="12.5">
      <c r="A1665" s="4" t="s">
        <v>5</v>
      </c>
      <c r="B1665" s="4" t="s">
        <v>119</v>
      </c>
      <c r="C1665" s="4" t="s">
        <v>3506</v>
      </c>
      <c r="D1665" s="4" t="s">
        <v>3073</v>
      </c>
      <c r="E1665" s="4">
        <v>584242439474</v>
      </c>
      <c r="F1665" s="4" t="s">
        <v>3508</v>
      </c>
      <c r="G1665" s="32">
        <v>46151</v>
      </c>
      <c r="H1665" s="9" t="s">
        <v>856</v>
      </c>
      <c r="I1665" s="4" t="s">
        <v>1431</v>
      </c>
      <c r="K1665" s="67" t="b">
        <v>0</v>
      </c>
      <c r="R1665" s="8"/>
      <c r="S1665" s="8"/>
    </row>
    <row r="1666" spans="1:24" ht="12.5">
      <c r="A1666" s="4" t="s">
        <v>5</v>
      </c>
      <c r="B1666" s="4" t="s">
        <v>398</v>
      </c>
      <c r="C1666" s="4" t="s">
        <v>3506</v>
      </c>
      <c r="D1666" s="4" t="s">
        <v>3073</v>
      </c>
      <c r="E1666" s="4">
        <v>584242439474</v>
      </c>
      <c r="F1666" s="4" t="s">
        <v>3508</v>
      </c>
      <c r="G1666" s="32">
        <v>46151</v>
      </c>
      <c r="H1666" s="9" t="s">
        <v>856</v>
      </c>
      <c r="I1666" s="4" t="s">
        <v>1431</v>
      </c>
      <c r="K1666" s="67" t="b">
        <v>0</v>
      </c>
      <c r="R1666" s="8"/>
      <c r="S1666" s="8"/>
    </row>
    <row r="1667" spans="1:24" ht="12.5">
      <c r="A1667" s="4" t="s">
        <v>5</v>
      </c>
      <c r="B1667" s="4" t="s">
        <v>119</v>
      </c>
      <c r="C1667" s="4" t="s">
        <v>3506</v>
      </c>
      <c r="D1667" s="4" t="s">
        <v>3073</v>
      </c>
      <c r="E1667" s="4">
        <v>584242439474</v>
      </c>
      <c r="F1667" s="4" t="s">
        <v>3509</v>
      </c>
      <c r="G1667" s="32">
        <v>46151</v>
      </c>
      <c r="H1667" s="9" t="s">
        <v>856</v>
      </c>
      <c r="I1667" s="4" t="s">
        <v>1431</v>
      </c>
      <c r="K1667" s="67" t="b">
        <v>0</v>
      </c>
      <c r="R1667" s="8"/>
      <c r="S1667" s="8"/>
    </row>
    <row r="1668" spans="1:24" ht="12.5">
      <c r="A1668" s="4" t="s">
        <v>5</v>
      </c>
      <c r="B1668" s="4" t="s">
        <v>398</v>
      </c>
      <c r="C1668" s="4" t="s">
        <v>3506</v>
      </c>
      <c r="D1668" s="4" t="s">
        <v>3073</v>
      </c>
      <c r="E1668" s="4">
        <v>584242439474</v>
      </c>
      <c r="F1668" s="4" t="s">
        <v>3508</v>
      </c>
      <c r="G1668" s="32">
        <v>46152</v>
      </c>
      <c r="H1668" s="9" t="s">
        <v>856</v>
      </c>
      <c r="I1668" s="4" t="s">
        <v>1431</v>
      </c>
      <c r="K1668" s="67" t="b">
        <v>0</v>
      </c>
      <c r="R1668" s="8"/>
      <c r="S1668" s="8"/>
    </row>
    <row r="1669" spans="1:24" ht="12.5">
      <c r="A1669" s="4" t="s">
        <v>5</v>
      </c>
      <c r="B1669" s="4" t="s">
        <v>119</v>
      </c>
      <c r="C1669" s="4" t="s">
        <v>3506</v>
      </c>
      <c r="D1669" s="4" t="s">
        <v>3073</v>
      </c>
      <c r="E1669" s="4">
        <v>584242439474</v>
      </c>
      <c r="F1669" s="4" t="s">
        <v>3510</v>
      </c>
      <c r="G1669" s="32">
        <v>46152</v>
      </c>
      <c r="H1669" s="9" t="s">
        <v>856</v>
      </c>
      <c r="I1669" s="4" t="s">
        <v>1431</v>
      </c>
      <c r="K1669" s="67" t="b">
        <v>0</v>
      </c>
      <c r="R1669" s="8"/>
      <c r="S1669" s="8"/>
    </row>
    <row r="1670" spans="1:24" ht="12.5">
      <c r="A1670" s="4" t="s">
        <v>5</v>
      </c>
      <c r="B1670" s="4" t="s">
        <v>398</v>
      </c>
      <c r="C1670" s="4" t="s">
        <v>3506</v>
      </c>
      <c r="D1670" s="4" t="s">
        <v>3073</v>
      </c>
      <c r="E1670" s="4">
        <v>584242439474</v>
      </c>
      <c r="F1670" s="4" t="s">
        <v>3508</v>
      </c>
      <c r="G1670" s="32">
        <v>46152</v>
      </c>
      <c r="H1670" s="9" t="s">
        <v>856</v>
      </c>
      <c r="I1670" s="4" t="s">
        <v>1431</v>
      </c>
      <c r="K1670" s="67" t="b">
        <v>0</v>
      </c>
      <c r="R1670" s="8"/>
      <c r="S1670" s="8"/>
    </row>
    <row r="1671" spans="1:24" ht="12.5">
      <c r="A1671" s="4" t="s">
        <v>5</v>
      </c>
      <c r="B1671" s="4" t="s">
        <v>119</v>
      </c>
      <c r="C1671" s="4" t="s">
        <v>3506</v>
      </c>
      <c r="D1671" s="4" t="s">
        <v>3073</v>
      </c>
      <c r="E1671" s="4">
        <v>584242439474</v>
      </c>
      <c r="F1671" s="4" t="s">
        <v>3511</v>
      </c>
      <c r="G1671" s="32">
        <v>46152</v>
      </c>
      <c r="H1671" s="9" t="s">
        <v>856</v>
      </c>
      <c r="I1671" s="4" t="s">
        <v>1431</v>
      </c>
      <c r="K1671" s="67" t="b">
        <v>0</v>
      </c>
      <c r="R1671" s="8"/>
      <c r="S1671" s="8"/>
    </row>
    <row r="1672" spans="1:24" ht="12.5">
      <c r="A1672" s="4" t="s">
        <v>5</v>
      </c>
      <c r="B1672" s="4" t="s">
        <v>398</v>
      </c>
      <c r="C1672" s="4" t="s">
        <v>3506</v>
      </c>
      <c r="D1672" s="4" t="s">
        <v>3073</v>
      </c>
      <c r="E1672" s="4">
        <v>584242439474</v>
      </c>
      <c r="F1672" s="4" t="s">
        <v>3510</v>
      </c>
      <c r="G1672" s="32">
        <v>46152</v>
      </c>
      <c r="H1672" s="9" t="s">
        <v>856</v>
      </c>
      <c r="I1672" s="4" t="s">
        <v>1431</v>
      </c>
      <c r="K1672" s="67" t="b">
        <v>0</v>
      </c>
      <c r="R1672" s="8"/>
      <c r="S1672" s="8"/>
    </row>
    <row r="1673" spans="1:24" ht="12.5">
      <c r="A1673" s="4" t="s">
        <v>5</v>
      </c>
      <c r="B1673" s="4" t="s">
        <v>119</v>
      </c>
      <c r="C1673" s="4" t="s">
        <v>3506</v>
      </c>
      <c r="D1673" s="4" t="s">
        <v>3073</v>
      </c>
      <c r="E1673" s="4">
        <v>584242439474</v>
      </c>
      <c r="F1673" s="4" t="s">
        <v>3509</v>
      </c>
      <c r="G1673" s="32">
        <v>46152</v>
      </c>
      <c r="H1673" s="9" t="s">
        <v>856</v>
      </c>
      <c r="I1673" s="4" t="s">
        <v>1431</v>
      </c>
      <c r="K1673" s="67" t="b">
        <v>0</v>
      </c>
      <c r="R1673" s="8"/>
      <c r="S1673" s="8"/>
    </row>
    <row r="1674" spans="1:24" ht="12.5">
      <c r="A1674" s="4" t="s">
        <v>5</v>
      </c>
      <c r="B1674" s="4" t="s">
        <v>398</v>
      </c>
      <c r="C1674" s="4" t="s">
        <v>3506</v>
      </c>
      <c r="D1674" s="4" t="s">
        <v>3073</v>
      </c>
      <c r="E1674" s="4">
        <v>584242439474</v>
      </c>
      <c r="F1674" s="4" t="s">
        <v>3508</v>
      </c>
      <c r="G1674" s="32">
        <v>46152</v>
      </c>
      <c r="H1674" s="9" t="s">
        <v>856</v>
      </c>
      <c r="I1674" s="4"/>
      <c r="K1674" s="67" t="b">
        <v>0</v>
      </c>
      <c r="L1674" s="68"/>
      <c r="R1674" s="8"/>
      <c r="S1674" s="8"/>
    </row>
    <row r="1675" spans="1:24" ht="12.5">
      <c r="A1675" s="4" t="s">
        <v>5</v>
      </c>
      <c r="B1675" s="4" t="s">
        <v>119</v>
      </c>
      <c r="C1675" s="4" t="s">
        <v>3512</v>
      </c>
      <c r="D1675" s="4" t="s">
        <v>3513</v>
      </c>
      <c r="E1675" s="4">
        <v>52314279080</v>
      </c>
      <c r="F1675" s="4" t="s">
        <v>3514</v>
      </c>
      <c r="G1675" s="32">
        <v>46152</v>
      </c>
      <c r="H1675" s="9" t="s">
        <v>856</v>
      </c>
      <c r="I1675" s="4" t="s">
        <v>459</v>
      </c>
      <c r="K1675" s="67" t="b">
        <v>1</v>
      </c>
      <c r="L1675" s="68" t="b">
        <v>1</v>
      </c>
      <c r="R1675" s="8"/>
      <c r="S1675" s="8"/>
    </row>
    <row r="1676" spans="1:24" ht="12.5">
      <c r="A1676" s="4" t="s">
        <v>381</v>
      </c>
      <c r="B1676" s="4" t="s">
        <v>398</v>
      </c>
      <c r="C1676" s="4" t="s">
        <v>3515</v>
      </c>
      <c r="D1676" s="4" t="s">
        <v>3516</v>
      </c>
      <c r="E1676" s="4">
        <v>34626233582</v>
      </c>
      <c r="F1676" s="4" t="s">
        <v>3517</v>
      </c>
      <c r="G1676" s="32">
        <v>46152</v>
      </c>
      <c r="H1676" s="9" t="s">
        <v>856</v>
      </c>
      <c r="I1676" s="4" t="s">
        <v>941</v>
      </c>
      <c r="K1676" s="67" t="b">
        <v>1</v>
      </c>
      <c r="R1676" s="8"/>
      <c r="S1676" s="8"/>
    </row>
    <row r="1677" spans="1:24" ht="12.5">
      <c r="A1677" s="4" t="s">
        <v>5</v>
      </c>
      <c r="B1677" s="4" t="s">
        <v>119</v>
      </c>
      <c r="C1677" s="4" t="s">
        <v>421</v>
      </c>
      <c r="D1677" s="4" t="s">
        <v>422</v>
      </c>
      <c r="E1677" s="4">
        <v>34684643839</v>
      </c>
      <c r="F1677" s="4" t="s">
        <v>423</v>
      </c>
      <c r="G1677" s="32">
        <v>46152</v>
      </c>
      <c r="H1677" s="9" t="s">
        <v>856</v>
      </c>
      <c r="I1677" s="4" t="s">
        <v>448</v>
      </c>
      <c r="K1677" s="67" t="b">
        <v>1</v>
      </c>
      <c r="R1677" s="8"/>
      <c r="S1677" s="4" t="s">
        <v>119</v>
      </c>
      <c r="T1677" s="33">
        <v>46154</v>
      </c>
      <c r="U1677" s="6">
        <v>279</v>
      </c>
      <c r="V1677" s="4">
        <v>0</v>
      </c>
      <c r="W1677" s="4">
        <v>1</v>
      </c>
      <c r="X1677" s="8">
        <v>46023</v>
      </c>
    </row>
    <row r="1678" spans="1:24" ht="12.5">
      <c r="A1678" s="4" t="s">
        <v>5</v>
      </c>
      <c r="B1678" s="4" t="s">
        <v>398</v>
      </c>
      <c r="C1678" s="4" t="s">
        <v>3518</v>
      </c>
      <c r="D1678" s="4" t="s">
        <v>3519</v>
      </c>
      <c r="E1678" s="4">
        <v>34671437804</v>
      </c>
      <c r="F1678" s="4" t="s">
        <v>111</v>
      </c>
      <c r="G1678" s="32">
        <v>46152</v>
      </c>
      <c r="H1678" s="9" t="s">
        <v>856</v>
      </c>
      <c r="I1678" s="4" t="s">
        <v>459</v>
      </c>
      <c r="K1678" s="67" t="b">
        <v>1</v>
      </c>
      <c r="L1678" s="68" t="b">
        <v>1</v>
      </c>
      <c r="R1678" s="8"/>
      <c r="S1678" s="8"/>
    </row>
    <row r="1679" spans="1:24" ht="12.5">
      <c r="A1679" s="4" t="s">
        <v>5</v>
      </c>
      <c r="B1679" s="4" t="s">
        <v>119</v>
      </c>
      <c r="C1679" s="4" t="s">
        <v>3520</v>
      </c>
      <c r="D1679" s="4" t="s">
        <v>3521</v>
      </c>
      <c r="E1679" s="4">
        <v>34663037133</v>
      </c>
      <c r="F1679" s="4" t="s">
        <v>1965</v>
      </c>
      <c r="G1679" s="32">
        <v>46152</v>
      </c>
      <c r="H1679" s="9" t="s">
        <v>856</v>
      </c>
      <c r="I1679" s="4" t="s">
        <v>459</v>
      </c>
      <c r="K1679" s="67" t="b">
        <v>1</v>
      </c>
      <c r="N1679" s="67" t="b">
        <v>1</v>
      </c>
      <c r="R1679" s="8"/>
      <c r="S1679" s="8"/>
    </row>
    <row r="1680" spans="1:24" ht="12.5">
      <c r="A1680" s="4" t="s">
        <v>5</v>
      </c>
      <c r="B1680" s="4" t="s">
        <v>398</v>
      </c>
      <c r="C1680" s="4" t="s">
        <v>3520</v>
      </c>
      <c r="D1680" s="4" t="s">
        <v>3521</v>
      </c>
      <c r="E1680" s="4">
        <v>34663037133</v>
      </c>
      <c r="F1680" s="4" t="s">
        <v>3522</v>
      </c>
      <c r="G1680" s="32">
        <v>46152</v>
      </c>
      <c r="H1680" s="9" t="s">
        <v>856</v>
      </c>
      <c r="I1680" s="4" t="s">
        <v>459</v>
      </c>
      <c r="K1680" s="67" t="b">
        <v>1</v>
      </c>
      <c r="R1680" s="8"/>
      <c r="S1680" s="8"/>
    </row>
    <row r="1681" spans="1:19" ht="12.5">
      <c r="A1681" s="4" t="s">
        <v>5</v>
      </c>
      <c r="B1681" s="4" t="s">
        <v>119</v>
      </c>
      <c r="C1681" s="4" t="s">
        <v>3523</v>
      </c>
      <c r="D1681" s="4" t="s">
        <v>3524</v>
      </c>
      <c r="E1681" s="4">
        <v>573227310543</v>
      </c>
      <c r="F1681" s="4" t="s">
        <v>1811</v>
      </c>
      <c r="G1681" s="32">
        <v>46153</v>
      </c>
      <c r="H1681" s="9" t="s">
        <v>856</v>
      </c>
      <c r="I1681" s="4" t="s">
        <v>459</v>
      </c>
      <c r="K1681" s="67" t="b">
        <v>1</v>
      </c>
      <c r="N1681" s="67" t="b">
        <v>1</v>
      </c>
      <c r="R1681" s="8"/>
      <c r="S1681" s="8"/>
    </row>
    <row r="1682" spans="1:19" ht="12.5">
      <c r="A1682" s="4" t="s">
        <v>5</v>
      </c>
      <c r="B1682" s="4" t="s">
        <v>398</v>
      </c>
      <c r="C1682" s="4" t="s">
        <v>3525</v>
      </c>
      <c r="D1682" s="4" t="s">
        <v>3526</v>
      </c>
      <c r="E1682" s="4">
        <v>34722255635</v>
      </c>
      <c r="F1682" s="4" t="s">
        <v>2385</v>
      </c>
      <c r="G1682" s="32">
        <v>46153</v>
      </c>
      <c r="H1682" s="9" t="s">
        <v>856</v>
      </c>
      <c r="I1682" s="4" t="s">
        <v>459</v>
      </c>
      <c r="K1682" s="67" t="b">
        <v>1</v>
      </c>
      <c r="R1682" s="8"/>
      <c r="S1682" s="8"/>
    </row>
    <row r="1683" spans="1:19" ht="12.5">
      <c r="A1683" s="4" t="s">
        <v>5</v>
      </c>
      <c r="B1683" s="4" t="s">
        <v>398</v>
      </c>
      <c r="C1683" s="4" t="s">
        <v>2936</v>
      </c>
      <c r="E1683" s="4" t="s">
        <v>3527</v>
      </c>
      <c r="F1683" s="4" t="s">
        <v>69</v>
      </c>
      <c r="G1683" s="32">
        <v>46153</v>
      </c>
      <c r="H1683" s="9" t="s">
        <v>956</v>
      </c>
      <c r="I1683" s="4" t="s">
        <v>459</v>
      </c>
      <c r="J1683" s="4"/>
      <c r="K1683" s="67" t="b">
        <v>1</v>
      </c>
      <c r="L1683" s="4"/>
      <c r="M1683" s="4"/>
      <c r="N1683" s="4"/>
      <c r="O1683" s="4"/>
      <c r="P1683" s="4"/>
      <c r="Q1683" s="4"/>
      <c r="R1683" s="8"/>
      <c r="S1683" s="8"/>
    </row>
    <row r="1684" spans="1:19" ht="12.5">
      <c r="A1684" s="4" t="s">
        <v>5</v>
      </c>
      <c r="B1684" s="4" t="s">
        <v>119</v>
      </c>
      <c r="E1684" s="4" t="s">
        <v>3528</v>
      </c>
      <c r="F1684" s="55" t="s">
        <v>8</v>
      </c>
      <c r="G1684" s="32">
        <v>46153</v>
      </c>
      <c r="H1684" s="9" t="s">
        <v>956</v>
      </c>
      <c r="I1684" s="4" t="s">
        <v>459</v>
      </c>
      <c r="J1684" s="4"/>
      <c r="K1684" s="67" t="b">
        <v>1</v>
      </c>
      <c r="L1684" s="4"/>
      <c r="M1684" s="4"/>
      <c r="N1684" s="67" t="b">
        <v>1</v>
      </c>
      <c r="O1684" s="4"/>
      <c r="P1684" s="4"/>
      <c r="Q1684" s="4"/>
      <c r="R1684" s="8"/>
      <c r="S1684" s="8"/>
    </row>
    <row r="1685" spans="1:19" ht="12.5">
      <c r="A1685" s="4" t="s">
        <v>5</v>
      </c>
      <c r="B1685" s="4" t="s">
        <v>119</v>
      </c>
      <c r="C1685" s="4" t="s">
        <v>3529</v>
      </c>
      <c r="E1685" s="4" t="s">
        <v>3530</v>
      </c>
      <c r="F1685" s="4" t="s">
        <v>129</v>
      </c>
      <c r="G1685" s="32">
        <v>46153</v>
      </c>
      <c r="H1685" s="9" t="s">
        <v>956</v>
      </c>
      <c r="I1685" s="4" t="s">
        <v>459</v>
      </c>
      <c r="J1685" s="4"/>
      <c r="K1685" s="67" t="b">
        <v>1</v>
      </c>
      <c r="L1685" s="4"/>
      <c r="M1685" s="4"/>
      <c r="N1685" s="67" t="b">
        <v>1</v>
      </c>
      <c r="O1685" s="4"/>
      <c r="P1685" s="4"/>
      <c r="Q1685" s="4"/>
      <c r="R1685" s="8"/>
      <c r="S1685" s="8"/>
    </row>
    <row r="1686" spans="1:19" ht="12.5">
      <c r="A1686" s="4" t="s">
        <v>240</v>
      </c>
      <c r="B1686" s="4" t="s">
        <v>119</v>
      </c>
      <c r="C1686" s="4" t="s">
        <v>3531</v>
      </c>
      <c r="E1686" s="4" t="s">
        <v>3532</v>
      </c>
      <c r="F1686" s="4" t="s">
        <v>3533</v>
      </c>
      <c r="G1686" s="32">
        <v>46153</v>
      </c>
      <c r="H1686" s="9" t="s">
        <v>956</v>
      </c>
      <c r="I1686" s="4" t="s">
        <v>459</v>
      </c>
      <c r="J1686" s="4"/>
      <c r="K1686" s="67" t="b">
        <v>1</v>
      </c>
      <c r="L1686" s="4"/>
      <c r="M1686" s="4"/>
      <c r="N1686" s="4"/>
      <c r="O1686" s="4"/>
      <c r="P1686" s="4"/>
      <c r="Q1686" s="4"/>
      <c r="R1686" s="8"/>
      <c r="S1686" s="8"/>
    </row>
    <row r="1687" spans="1:19" ht="12.5">
      <c r="A1687" s="4" t="s">
        <v>5</v>
      </c>
      <c r="B1687" s="4" t="s">
        <v>119</v>
      </c>
      <c r="C1687" s="4" t="s">
        <v>3534</v>
      </c>
      <c r="E1687" s="4" t="s">
        <v>3535</v>
      </c>
      <c r="F1687" s="4" t="s">
        <v>1814</v>
      </c>
      <c r="G1687" s="32">
        <v>46153</v>
      </c>
      <c r="H1687" s="9" t="s">
        <v>956</v>
      </c>
      <c r="I1687" s="4" t="s">
        <v>459</v>
      </c>
      <c r="J1687" s="4"/>
      <c r="K1687" s="67" t="b">
        <v>1</v>
      </c>
      <c r="L1687" s="4"/>
      <c r="M1687" s="4"/>
      <c r="N1687" s="67" t="b">
        <v>1</v>
      </c>
      <c r="O1687" s="4"/>
      <c r="P1687" s="4"/>
      <c r="Q1687" s="4"/>
      <c r="R1687" s="8"/>
      <c r="S1687" s="8"/>
    </row>
    <row r="1688" spans="1:19" ht="12.5">
      <c r="A1688" s="4" t="s">
        <v>381</v>
      </c>
      <c r="B1688" s="4" t="s">
        <v>119</v>
      </c>
      <c r="C1688" s="4" t="s">
        <v>3536</v>
      </c>
      <c r="E1688" s="4" t="s">
        <v>3537</v>
      </c>
      <c r="F1688" s="4" t="s">
        <v>3538</v>
      </c>
      <c r="G1688" s="32">
        <v>46153</v>
      </c>
      <c r="H1688" s="9" t="s">
        <v>956</v>
      </c>
      <c r="I1688" s="4" t="s">
        <v>459</v>
      </c>
      <c r="J1688" s="4"/>
      <c r="K1688" s="67" t="b">
        <v>1</v>
      </c>
      <c r="L1688" s="4"/>
      <c r="M1688" s="4"/>
      <c r="N1688" s="67" t="b">
        <v>1</v>
      </c>
      <c r="O1688" s="4"/>
      <c r="P1688" s="4"/>
      <c r="Q1688" s="4"/>
      <c r="R1688" s="8"/>
      <c r="S1688" s="8"/>
    </row>
    <row r="1689" spans="1:19" ht="12.5">
      <c r="A1689" s="4" t="s">
        <v>5</v>
      </c>
      <c r="B1689" s="4" t="s">
        <v>398</v>
      </c>
      <c r="C1689" s="4" t="s">
        <v>1526</v>
      </c>
      <c r="D1689" s="4" t="s">
        <v>3539</v>
      </c>
      <c r="E1689" s="4" t="s">
        <v>3540</v>
      </c>
      <c r="F1689" s="4" t="s">
        <v>388</v>
      </c>
      <c r="G1689" s="32">
        <v>46153</v>
      </c>
      <c r="H1689" s="9" t="s">
        <v>956</v>
      </c>
      <c r="I1689" s="4" t="s">
        <v>459</v>
      </c>
      <c r="J1689" s="4"/>
      <c r="K1689" s="67" t="b">
        <v>1</v>
      </c>
      <c r="L1689" s="68" t="b">
        <v>1</v>
      </c>
      <c r="M1689" s="4"/>
      <c r="N1689" s="4"/>
      <c r="O1689" s="4"/>
      <c r="P1689" s="4"/>
      <c r="Q1689" s="4"/>
      <c r="R1689" s="8"/>
      <c r="S1689" s="8"/>
    </row>
    <row r="1690" spans="1:19" ht="12.5">
      <c r="A1690" s="4" t="s">
        <v>5</v>
      </c>
      <c r="B1690" s="4" t="s">
        <v>398</v>
      </c>
      <c r="C1690" s="4" t="s">
        <v>3541</v>
      </c>
      <c r="E1690" s="4" t="s">
        <v>3542</v>
      </c>
      <c r="F1690" s="4" t="s">
        <v>2544</v>
      </c>
      <c r="G1690" s="32">
        <v>46153</v>
      </c>
      <c r="H1690" s="9" t="s">
        <v>956</v>
      </c>
      <c r="I1690" s="4" t="s">
        <v>459</v>
      </c>
      <c r="J1690" s="4"/>
      <c r="K1690" s="67" t="b">
        <v>1</v>
      </c>
      <c r="L1690" s="4"/>
      <c r="M1690" s="4"/>
      <c r="N1690" s="4"/>
      <c r="O1690" s="4"/>
      <c r="P1690" s="4"/>
      <c r="Q1690" s="4"/>
      <c r="R1690" s="8"/>
      <c r="S1690" s="8"/>
    </row>
    <row r="1691" spans="1:19" ht="12.5">
      <c r="A1691" s="4" t="s">
        <v>5</v>
      </c>
      <c r="B1691" s="4" t="s">
        <v>119</v>
      </c>
      <c r="E1691" s="4" t="s">
        <v>3543</v>
      </c>
      <c r="F1691" s="4" t="s">
        <v>1055</v>
      </c>
      <c r="G1691" s="32">
        <v>46153</v>
      </c>
      <c r="H1691" s="9" t="s">
        <v>956</v>
      </c>
      <c r="I1691" s="4" t="s">
        <v>459</v>
      </c>
      <c r="J1691" s="4"/>
      <c r="K1691" s="67" t="b">
        <v>1</v>
      </c>
      <c r="L1691" s="4"/>
      <c r="M1691" s="4"/>
      <c r="N1691" s="67" t="b">
        <v>1</v>
      </c>
      <c r="O1691" s="4"/>
      <c r="P1691" s="4"/>
      <c r="Q1691" s="4"/>
      <c r="R1691" s="8"/>
      <c r="S1691" s="8"/>
    </row>
    <row r="1692" spans="1:19" ht="12.5">
      <c r="A1692" s="4" t="s">
        <v>240</v>
      </c>
      <c r="B1692" s="4" t="s">
        <v>119</v>
      </c>
      <c r="C1692" s="4" t="s">
        <v>3544</v>
      </c>
      <c r="D1692" s="4" t="s">
        <v>3545</v>
      </c>
      <c r="E1692" s="4">
        <v>34611710670</v>
      </c>
      <c r="F1692" s="4" t="s">
        <v>3546</v>
      </c>
      <c r="G1692" s="32">
        <v>46153</v>
      </c>
      <c r="H1692" s="9" t="s">
        <v>856</v>
      </c>
      <c r="I1692" s="4" t="s">
        <v>459</v>
      </c>
      <c r="K1692" s="67" t="b">
        <v>0</v>
      </c>
      <c r="L1692" s="68" t="b">
        <v>1</v>
      </c>
      <c r="O1692" s="68" t="b">
        <v>1</v>
      </c>
      <c r="R1692" s="8"/>
      <c r="S1692" s="8"/>
    </row>
    <row r="1693" spans="1:19" ht="12.5">
      <c r="A1693" s="4" t="s">
        <v>5</v>
      </c>
      <c r="B1693" s="4" t="s">
        <v>398</v>
      </c>
      <c r="C1693" s="4" t="s">
        <v>3547</v>
      </c>
      <c r="E1693" s="4">
        <v>5493515191096</v>
      </c>
      <c r="F1693" s="4" t="s">
        <v>1759</v>
      </c>
      <c r="G1693" s="32">
        <v>46153</v>
      </c>
      <c r="H1693" s="9" t="s">
        <v>956</v>
      </c>
      <c r="I1693" s="4" t="s">
        <v>459</v>
      </c>
      <c r="J1693" s="4"/>
      <c r="K1693" s="67" t="b">
        <v>1</v>
      </c>
      <c r="L1693" s="4"/>
      <c r="M1693" s="4"/>
      <c r="N1693" s="4"/>
      <c r="O1693" s="4"/>
      <c r="P1693" s="4"/>
      <c r="Q1693" s="4"/>
      <c r="R1693" s="8"/>
      <c r="S1693" s="8"/>
    </row>
    <row r="1694" spans="1:19" ht="12.5">
      <c r="B1694" s="4" t="s">
        <v>119</v>
      </c>
      <c r="C1694" s="4" t="s">
        <v>3548</v>
      </c>
      <c r="D1694" s="4" t="s">
        <v>3549</v>
      </c>
      <c r="E1694" s="4" t="s">
        <v>3550</v>
      </c>
      <c r="G1694" s="32">
        <v>46153</v>
      </c>
      <c r="H1694" s="9" t="s">
        <v>956</v>
      </c>
      <c r="I1694" s="4" t="s">
        <v>459</v>
      </c>
      <c r="J1694" s="4"/>
      <c r="K1694" s="67" t="b">
        <v>1</v>
      </c>
      <c r="L1694" s="4"/>
      <c r="M1694" s="4"/>
      <c r="N1694" s="67" t="b">
        <v>1</v>
      </c>
      <c r="O1694" s="4"/>
      <c r="P1694" s="4"/>
      <c r="Q1694" s="4"/>
      <c r="R1694" s="8"/>
      <c r="S1694" s="8"/>
    </row>
    <row r="1695" spans="1:19" ht="12.5">
      <c r="A1695" s="4" t="s">
        <v>5</v>
      </c>
      <c r="B1695" s="4" t="s">
        <v>398</v>
      </c>
      <c r="C1695" s="4" t="s">
        <v>3551</v>
      </c>
      <c r="D1695" s="4" t="s">
        <v>3552</v>
      </c>
      <c r="E1695" s="4">
        <v>6.15314E+17</v>
      </c>
      <c r="F1695" s="4" t="s">
        <v>3553</v>
      </c>
      <c r="G1695" s="32">
        <v>46153</v>
      </c>
      <c r="H1695" s="9" t="s">
        <v>856</v>
      </c>
      <c r="I1695" s="4" t="s">
        <v>941</v>
      </c>
      <c r="K1695" s="67" t="b">
        <v>1</v>
      </c>
      <c r="R1695" s="8"/>
      <c r="S1695" s="8"/>
    </row>
    <row r="1696" spans="1:19" ht="12.5">
      <c r="A1696" s="4" t="s">
        <v>5</v>
      </c>
      <c r="B1696" s="4" t="s">
        <v>119</v>
      </c>
      <c r="C1696" s="4" t="s">
        <v>3506</v>
      </c>
      <c r="D1696" s="4" t="s">
        <v>3073</v>
      </c>
      <c r="E1696" s="4">
        <v>584242439474</v>
      </c>
      <c r="F1696" s="4" t="s">
        <v>3554</v>
      </c>
      <c r="G1696" s="32">
        <v>46154</v>
      </c>
      <c r="H1696" s="9" t="s">
        <v>856</v>
      </c>
      <c r="I1696" s="4" t="s">
        <v>1431</v>
      </c>
      <c r="R1696" s="8"/>
      <c r="S1696" s="8"/>
    </row>
    <row r="1697" spans="1:19" ht="12.5">
      <c r="A1697" s="4" t="s">
        <v>5</v>
      </c>
      <c r="B1697" s="4" t="s">
        <v>398</v>
      </c>
      <c r="C1697" s="4" t="s">
        <v>3506</v>
      </c>
      <c r="D1697" s="4" t="s">
        <v>3073</v>
      </c>
      <c r="E1697" s="4">
        <v>584242439474</v>
      </c>
      <c r="F1697" s="4" t="s">
        <v>3555</v>
      </c>
      <c r="G1697" s="32">
        <v>46154</v>
      </c>
      <c r="H1697" s="9" t="s">
        <v>856</v>
      </c>
      <c r="I1697" s="4" t="s">
        <v>1431</v>
      </c>
      <c r="R1697" s="8"/>
      <c r="S1697" s="8"/>
    </row>
    <row r="1698" spans="1:19" ht="12.5">
      <c r="A1698" s="4" t="s">
        <v>5</v>
      </c>
      <c r="B1698" s="4" t="s">
        <v>119</v>
      </c>
      <c r="C1698" s="4" t="s">
        <v>3506</v>
      </c>
      <c r="D1698" s="4" t="s">
        <v>3073</v>
      </c>
      <c r="E1698" s="4">
        <v>584242439474</v>
      </c>
      <c r="F1698" s="4" t="s">
        <v>3555</v>
      </c>
      <c r="G1698" s="32">
        <v>46154</v>
      </c>
      <c r="H1698" s="9" t="s">
        <v>856</v>
      </c>
      <c r="I1698" s="4" t="s">
        <v>1431</v>
      </c>
      <c r="R1698" s="8"/>
      <c r="S1698" s="8"/>
    </row>
    <row r="1699" spans="1:19" ht="12.5">
      <c r="A1699" s="4" t="s">
        <v>5</v>
      </c>
      <c r="B1699" s="4" t="s">
        <v>398</v>
      </c>
      <c r="C1699" s="4" t="s">
        <v>3506</v>
      </c>
      <c r="D1699" s="4" t="s">
        <v>3073</v>
      </c>
      <c r="E1699" s="4">
        <v>584242439474</v>
      </c>
      <c r="F1699" s="4" t="s">
        <v>3555</v>
      </c>
      <c r="G1699" s="32">
        <v>46154</v>
      </c>
      <c r="H1699" s="9" t="s">
        <v>856</v>
      </c>
      <c r="I1699" s="4" t="s">
        <v>1431</v>
      </c>
      <c r="R1699" s="8"/>
      <c r="S1699" s="8"/>
    </row>
    <row r="1700" spans="1:19" ht="12.5">
      <c r="A1700" s="4" t="s">
        <v>5</v>
      </c>
      <c r="B1700" s="4" t="s">
        <v>119</v>
      </c>
      <c r="C1700" s="4" t="s">
        <v>3506</v>
      </c>
      <c r="D1700" s="4" t="s">
        <v>3073</v>
      </c>
      <c r="E1700" s="4">
        <v>584242439474</v>
      </c>
      <c r="F1700" s="4" t="s">
        <v>3555</v>
      </c>
      <c r="G1700" s="32">
        <v>46154</v>
      </c>
      <c r="H1700" s="9" t="s">
        <v>856</v>
      </c>
      <c r="I1700" s="4" t="s">
        <v>1431</v>
      </c>
      <c r="R1700" s="8"/>
      <c r="S1700" s="8"/>
    </row>
    <row r="1701" spans="1:19" ht="12.5">
      <c r="A1701" s="4" t="s">
        <v>5</v>
      </c>
      <c r="B1701" s="4" t="s">
        <v>398</v>
      </c>
      <c r="C1701" s="4" t="s">
        <v>3556</v>
      </c>
      <c r="D1701" s="4" t="s">
        <v>3557</v>
      </c>
      <c r="E1701" s="4">
        <v>523311653615</v>
      </c>
      <c r="F1701" s="4" t="s">
        <v>3394</v>
      </c>
      <c r="G1701" s="32">
        <v>46154</v>
      </c>
      <c r="H1701" s="9" t="s">
        <v>856</v>
      </c>
      <c r="I1701" s="4" t="s">
        <v>941</v>
      </c>
      <c r="K1701" s="67" t="b">
        <v>1</v>
      </c>
      <c r="R1701" s="8"/>
      <c r="S1701" s="8"/>
    </row>
    <row r="1702" spans="1:19" ht="12.5">
      <c r="A1702" s="4" t="s">
        <v>240</v>
      </c>
      <c r="B1702" s="4" t="s">
        <v>119</v>
      </c>
      <c r="C1702" s="4" t="s">
        <v>3558</v>
      </c>
      <c r="D1702" s="4" t="s">
        <v>3559</v>
      </c>
      <c r="E1702" s="4">
        <v>34692499303</v>
      </c>
      <c r="F1702" s="4" t="s">
        <v>3560</v>
      </c>
      <c r="G1702" s="32">
        <v>46154</v>
      </c>
      <c r="H1702" s="9" t="s">
        <v>856</v>
      </c>
      <c r="I1702" s="4" t="s">
        <v>459</v>
      </c>
      <c r="K1702" s="67" t="b">
        <v>1</v>
      </c>
      <c r="N1702" s="67" t="b">
        <v>1</v>
      </c>
      <c r="R1702" s="8"/>
      <c r="S1702" s="8"/>
    </row>
    <row r="1703" spans="1:19" ht="12.5">
      <c r="A1703" s="4" t="s">
        <v>5</v>
      </c>
      <c r="B1703" s="4" t="s">
        <v>398</v>
      </c>
      <c r="C1703" s="4" t="s">
        <v>3399</v>
      </c>
      <c r="E1703" s="4" t="s">
        <v>3561</v>
      </c>
      <c r="F1703" s="4" t="s">
        <v>3553</v>
      </c>
      <c r="G1703" s="32">
        <v>46154</v>
      </c>
      <c r="H1703" s="9" t="s">
        <v>956</v>
      </c>
      <c r="I1703" s="4" t="s">
        <v>941</v>
      </c>
      <c r="J1703" s="4"/>
      <c r="K1703" s="67" t="b">
        <v>1</v>
      </c>
      <c r="L1703" s="4"/>
      <c r="M1703" s="4"/>
      <c r="N1703" s="4"/>
      <c r="O1703" s="4"/>
      <c r="P1703" s="4"/>
      <c r="Q1703" s="4"/>
      <c r="R1703" s="8"/>
      <c r="S1703" s="8"/>
    </row>
    <row r="1704" spans="1:19" ht="12.5">
      <c r="A1704" s="4" t="s">
        <v>5</v>
      </c>
      <c r="B1704" s="4" t="s">
        <v>398</v>
      </c>
      <c r="C1704" s="4" t="s">
        <v>3399</v>
      </c>
      <c r="E1704" s="4" t="s">
        <v>3562</v>
      </c>
      <c r="F1704" s="4" t="s">
        <v>24</v>
      </c>
      <c r="G1704" s="32">
        <v>46154</v>
      </c>
      <c r="H1704" s="9" t="s">
        <v>956</v>
      </c>
      <c r="I1704" s="4" t="s">
        <v>941</v>
      </c>
      <c r="J1704" s="4"/>
      <c r="K1704" s="67" t="b">
        <v>1</v>
      </c>
      <c r="L1704" s="4"/>
      <c r="M1704" s="4"/>
      <c r="N1704" s="4"/>
      <c r="O1704" s="4"/>
      <c r="P1704" s="4"/>
      <c r="Q1704" s="4"/>
      <c r="R1704" s="8"/>
      <c r="S1704" s="8"/>
    </row>
    <row r="1705" spans="1:19" ht="12.5">
      <c r="A1705" s="4" t="s">
        <v>5</v>
      </c>
      <c r="B1705" s="4" t="s">
        <v>3563</v>
      </c>
      <c r="C1705" s="4" t="s">
        <v>3564</v>
      </c>
      <c r="E1705" s="4" t="s">
        <v>3565</v>
      </c>
      <c r="F1705" s="4" t="s">
        <v>388</v>
      </c>
      <c r="G1705" s="32">
        <v>46154</v>
      </c>
      <c r="H1705" s="9" t="s">
        <v>956</v>
      </c>
      <c r="I1705" s="4" t="s">
        <v>941</v>
      </c>
      <c r="J1705" s="68" t="b">
        <v>1</v>
      </c>
      <c r="K1705" s="67" t="b">
        <v>1</v>
      </c>
      <c r="L1705" s="4"/>
      <c r="M1705" s="4"/>
      <c r="N1705" s="67" t="b">
        <v>1</v>
      </c>
      <c r="O1705" s="4"/>
      <c r="P1705" s="4"/>
      <c r="Q1705" s="4"/>
      <c r="R1705" s="8"/>
      <c r="S1705" s="8"/>
    </row>
    <row r="1706" spans="1:19" ht="12.5">
      <c r="A1706" s="4" t="s">
        <v>5</v>
      </c>
      <c r="B1706" s="4" t="s">
        <v>3563</v>
      </c>
      <c r="C1706" s="4" t="s">
        <v>3566</v>
      </c>
      <c r="E1706" s="4" t="s">
        <v>3567</v>
      </c>
      <c r="F1706" s="4" t="s">
        <v>388</v>
      </c>
      <c r="G1706" s="32">
        <v>46154</v>
      </c>
      <c r="H1706" s="9" t="s">
        <v>956</v>
      </c>
      <c r="I1706" s="4" t="s">
        <v>459</v>
      </c>
      <c r="J1706" s="4"/>
      <c r="K1706" s="67" t="b">
        <v>1</v>
      </c>
      <c r="L1706" s="4"/>
      <c r="M1706" s="4"/>
      <c r="N1706" s="67" t="b">
        <v>1</v>
      </c>
      <c r="O1706" s="4"/>
      <c r="P1706" s="4"/>
      <c r="Q1706" s="4"/>
      <c r="R1706" s="8"/>
      <c r="S1706" s="8"/>
    </row>
    <row r="1707" spans="1:19" ht="12.5">
      <c r="A1707" s="4" t="s">
        <v>3568</v>
      </c>
      <c r="B1707" s="4" t="s">
        <v>119</v>
      </c>
      <c r="C1707" s="4" t="s">
        <v>3569</v>
      </c>
      <c r="E1707" s="4" t="s">
        <v>3570</v>
      </c>
      <c r="F1707" s="4" t="s">
        <v>3571</v>
      </c>
      <c r="G1707" s="32">
        <v>46154</v>
      </c>
      <c r="H1707" s="9" t="s">
        <v>956</v>
      </c>
      <c r="I1707" s="4" t="s">
        <v>459</v>
      </c>
      <c r="J1707" s="4"/>
      <c r="K1707" s="67" t="b">
        <v>1</v>
      </c>
      <c r="L1707" s="4"/>
      <c r="M1707" s="4"/>
      <c r="N1707" s="67" t="b">
        <v>1</v>
      </c>
      <c r="O1707" s="4"/>
      <c r="P1707" s="4"/>
      <c r="Q1707" s="4"/>
      <c r="R1707" s="8"/>
      <c r="S1707" s="8"/>
    </row>
    <row r="1708" spans="1:19" ht="12.5">
      <c r="A1708" s="4" t="s">
        <v>381</v>
      </c>
      <c r="B1708" s="4" t="s">
        <v>119</v>
      </c>
      <c r="C1708" s="4" t="s">
        <v>3572</v>
      </c>
      <c r="E1708" s="4" t="s">
        <v>3573</v>
      </c>
      <c r="F1708" s="4" t="s">
        <v>3574</v>
      </c>
      <c r="G1708" s="32">
        <v>46154</v>
      </c>
      <c r="H1708" s="9" t="s">
        <v>956</v>
      </c>
      <c r="I1708" s="4" t="s">
        <v>459</v>
      </c>
      <c r="J1708" s="4"/>
      <c r="K1708" s="67" t="b">
        <v>1</v>
      </c>
      <c r="L1708" s="4"/>
      <c r="M1708" s="4"/>
      <c r="N1708" s="67" t="b">
        <v>1</v>
      </c>
      <c r="O1708" s="4"/>
      <c r="P1708" s="4"/>
      <c r="Q1708" s="4"/>
      <c r="R1708" s="8"/>
      <c r="S1708" s="8"/>
    </row>
    <row r="1709" spans="1:19" ht="12.5">
      <c r="A1709" s="4" t="s">
        <v>5</v>
      </c>
      <c r="B1709" s="4" t="s">
        <v>398</v>
      </c>
      <c r="C1709" s="4" t="s">
        <v>3575</v>
      </c>
      <c r="D1709" s="4" t="s">
        <v>3576</v>
      </c>
      <c r="E1709" s="4">
        <v>34652958465</v>
      </c>
      <c r="F1709" s="4" t="s">
        <v>3577</v>
      </c>
      <c r="G1709" s="32">
        <v>46154</v>
      </c>
      <c r="H1709" s="9" t="s">
        <v>856</v>
      </c>
      <c r="I1709" s="4" t="s">
        <v>941</v>
      </c>
      <c r="K1709" s="67" t="b">
        <v>1</v>
      </c>
      <c r="R1709" s="8"/>
      <c r="S1709" s="8"/>
    </row>
    <row r="1710" spans="1:19" ht="12.5">
      <c r="A1710" s="4" t="s">
        <v>5</v>
      </c>
      <c r="B1710" s="4" t="s">
        <v>119</v>
      </c>
      <c r="C1710" s="4" t="s">
        <v>3578</v>
      </c>
      <c r="D1710" s="4" t="s">
        <v>3579</v>
      </c>
      <c r="E1710" s="4">
        <v>34677242332</v>
      </c>
      <c r="F1710" s="4" t="s">
        <v>3580</v>
      </c>
      <c r="G1710" s="32">
        <v>46154</v>
      </c>
      <c r="H1710" s="9" t="s">
        <v>856</v>
      </c>
      <c r="I1710" s="4" t="s">
        <v>1015</v>
      </c>
      <c r="K1710" s="67" t="b">
        <v>1</v>
      </c>
      <c r="N1710" s="67" t="b">
        <v>1</v>
      </c>
      <c r="R1710" s="8"/>
      <c r="S1710" s="8"/>
    </row>
    <row r="1711" spans="1:19" ht="12.5">
      <c r="A1711" s="4" t="s">
        <v>5</v>
      </c>
      <c r="B1711" s="4" t="s">
        <v>398</v>
      </c>
      <c r="C1711" s="4" t="s">
        <v>3581</v>
      </c>
      <c r="E1711" s="4" t="s">
        <v>3582</v>
      </c>
      <c r="F1711" s="4" t="s">
        <v>3583</v>
      </c>
      <c r="G1711" s="32">
        <v>46154</v>
      </c>
      <c r="H1711" s="9" t="s">
        <v>956</v>
      </c>
      <c r="I1711" s="4" t="s">
        <v>459</v>
      </c>
      <c r="J1711" s="68" t="b">
        <v>1</v>
      </c>
      <c r="K1711" s="67" t="b">
        <v>1</v>
      </c>
      <c r="L1711" s="4"/>
      <c r="M1711" s="4"/>
      <c r="N1711" s="4"/>
      <c r="O1711" s="4"/>
      <c r="P1711" s="4"/>
      <c r="Q1711" s="4"/>
      <c r="R1711" s="8"/>
      <c r="S1711" s="8"/>
    </row>
    <row r="1712" spans="1:19" ht="12.5">
      <c r="A1712" s="4" t="s">
        <v>5</v>
      </c>
      <c r="B1712" s="4" t="s">
        <v>398</v>
      </c>
      <c r="C1712" s="4" t="s">
        <v>3506</v>
      </c>
      <c r="D1712" s="4" t="s">
        <v>3073</v>
      </c>
      <c r="E1712" s="4">
        <v>584242439474</v>
      </c>
      <c r="F1712" s="4" t="s">
        <v>3584</v>
      </c>
      <c r="G1712" s="32">
        <v>46154</v>
      </c>
      <c r="H1712" s="9" t="s">
        <v>856</v>
      </c>
      <c r="I1712" s="4" t="s">
        <v>1431</v>
      </c>
      <c r="K1712" s="67" t="b">
        <v>0</v>
      </c>
      <c r="R1712" s="8"/>
      <c r="S1712" s="8"/>
    </row>
    <row r="1713" spans="1:24" ht="12.5">
      <c r="A1713" s="4" t="s">
        <v>5</v>
      </c>
      <c r="B1713" s="4" t="s">
        <v>119</v>
      </c>
      <c r="C1713" s="4" t="s">
        <v>3506</v>
      </c>
      <c r="D1713" s="4" t="s">
        <v>3073</v>
      </c>
      <c r="E1713" s="4">
        <v>584242439474</v>
      </c>
      <c r="F1713" s="4" t="s">
        <v>3555</v>
      </c>
      <c r="G1713" s="32">
        <v>46154</v>
      </c>
      <c r="H1713" s="9" t="s">
        <v>856</v>
      </c>
      <c r="I1713" s="4" t="s">
        <v>1431</v>
      </c>
      <c r="K1713" s="67" t="b">
        <v>0</v>
      </c>
      <c r="R1713" s="8"/>
      <c r="S1713" s="8"/>
    </row>
    <row r="1714" spans="1:24" ht="12.5">
      <c r="A1714" s="4" t="s">
        <v>5</v>
      </c>
      <c r="B1714" s="4" t="s">
        <v>398</v>
      </c>
      <c r="C1714" s="4" t="s">
        <v>3506</v>
      </c>
      <c r="D1714" s="4" t="s">
        <v>3073</v>
      </c>
      <c r="E1714" s="4">
        <v>584242439474</v>
      </c>
      <c r="F1714" s="4" t="s">
        <v>3585</v>
      </c>
      <c r="G1714" s="32">
        <v>46154</v>
      </c>
      <c r="H1714" s="9" t="s">
        <v>856</v>
      </c>
      <c r="I1714" s="4" t="s">
        <v>1431</v>
      </c>
      <c r="K1714" s="67" t="b">
        <v>0</v>
      </c>
      <c r="R1714" s="8"/>
      <c r="S1714" s="8"/>
    </row>
    <row r="1715" spans="1:24" ht="12.5">
      <c r="A1715" s="4" t="s">
        <v>5</v>
      </c>
      <c r="B1715" s="4" t="s">
        <v>119</v>
      </c>
      <c r="C1715" s="4" t="s">
        <v>3506</v>
      </c>
      <c r="D1715" s="4" t="s">
        <v>3073</v>
      </c>
      <c r="E1715" s="4">
        <v>584242439474</v>
      </c>
      <c r="F1715" s="4" t="s">
        <v>3555</v>
      </c>
      <c r="G1715" s="32">
        <v>46154</v>
      </c>
      <c r="H1715" s="9" t="s">
        <v>856</v>
      </c>
      <c r="I1715" s="4" t="s">
        <v>1431</v>
      </c>
      <c r="K1715" s="67" t="b">
        <v>0</v>
      </c>
      <c r="R1715" s="8"/>
      <c r="S1715" s="8"/>
    </row>
    <row r="1716" spans="1:24" ht="12.5">
      <c r="A1716" s="4" t="s">
        <v>5</v>
      </c>
      <c r="B1716" s="4" t="s">
        <v>398</v>
      </c>
      <c r="C1716" s="4" t="s">
        <v>3506</v>
      </c>
      <c r="D1716" s="4" t="s">
        <v>3073</v>
      </c>
      <c r="E1716" s="4">
        <v>584242439474</v>
      </c>
      <c r="F1716" s="4" t="s">
        <v>3555</v>
      </c>
      <c r="G1716" s="32">
        <v>46154</v>
      </c>
      <c r="H1716" s="9" t="s">
        <v>856</v>
      </c>
      <c r="I1716" s="4" t="s">
        <v>1431</v>
      </c>
      <c r="K1716" s="67" t="b">
        <v>0</v>
      </c>
      <c r="R1716" s="8"/>
      <c r="S1716" s="8"/>
    </row>
    <row r="1717" spans="1:24" ht="12.5">
      <c r="A1717" s="4" t="s">
        <v>5</v>
      </c>
      <c r="B1717" s="4" t="s">
        <v>119</v>
      </c>
      <c r="C1717" s="4" t="s">
        <v>3506</v>
      </c>
      <c r="D1717" s="4" t="s">
        <v>3073</v>
      </c>
      <c r="E1717" s="4">
        <v>584242439474</v>
      </c>
      <c r="F1717" s="4" t="s">
        <v>3555</v>
      </c>
      <c r="G1717" s="32">
        <v>46154</v>
      </c>
      <c r="H1717" s="9" t="s">
        <v>856</v>
      </c>
      <c r="I1717" s="4" t="s">
        <v>1431</v>
      </c>
      <c r="K1717" s="67" t="b">
        <v>0</v>
      </c>
      <c r="R1717" s="8"/>
      <c r="S1717" s="8"/>
    </row>
    <row r="1718" spans="1:24" ht="12.5">
      <c r="A1718" s="4" t="s">
        <v>5</v>
      </c>
      <c r="B1718" s="4" t="s">
        <v>398</v>
      </c>
      <c r="C1718" s="4" t="s">
        <v>3506</v>
      </c>
      <c r="D1718" s="4" t="s">
        <v>3073</v>
      </c>
      <c r="E1718" s="4">
        <v>584242439474</v>
      </c>
      <c r="F1718" s="4" t="s">
        <v>3586</v>
      </c>
      <c r="G1718" s="32">
        <v>46155</v>
      </c>
      <c r="H1718" s="9" t="s">
        <v>856</v>
      </c>
      <c r="I1718" s="4" t="s">
        <v>1431</v>
      </c>
      <c r="K1718" s="67" t="b">
        <v>0</v>
      </c>
      <c r="R1718" s="8"/>
      <c r="S1718" s="8"/>
    </row>
    <row r="1719" spans="1:24" ht="12.5">
      <c r="A1719" s="4" t="s">
        <v>381</v>
      </c>
      <c r="B1719" s="4" t="s">
        <v>398</v>
      </c>
      <c r="C1719" s="4" t="s">
        <v>3399</v>
      </c>
      <c r="E1719" s="4" t="s">
        <v>3587</v>
      </c>
      <c r="F1719" s="4" t="s">
        <v>2603</v>
      </c>
      <c r="G1719" s="32">
        <v>46155</v>
      </c>
      <c r="H1719" s="9" t="s">
        <v>956</v>
      </c>
      <c r="I1719" s="4" t="s">
        <v>459</v>
      </c>
      <c r="J1719" s="4"/>
      <c r="K1719" s="67" t="b">
        <v>1</v>
      </c>
      <c r="L1719" s="4"/>
      <c r="M1719" s="4"/>
      <c r="N1719" s="4"/>
      <c r="O1719" s="4"/>
      <c r="P1719" s="4"/>
      <c r="Q1719" s="4"/>
      <c r="R1719" s="8"/>
      <c r="S1719" s="8"/>
    </row>
    <row r="1720" spans="1:24" ht="12.5">
      <c r="A1720" s="4" t="s">
        <v>5</v>
      </c>
      <c r="B1720" s="4" t="s">
        <v>119</v>
      </c>
      <c r="E1720" s="4" t="s">
        <v>3588</v>
      </c>
      <c r="F1720" s="4" t="s">
        <v>111</v>
      </c>
      <c r="G1720" s="32">
        <v>46155</v>
      </c>
      <c r="H1720" s="9" t="s">
        <v>956</v>
      </c>
      <c r="I1720" s="4" t="s">
        <v>459</v>
      </c>
      <c r="J1720" s="4"/>
      <c r="K1720" s="67" t="b">
        <v>1</v>
      </c>
      <c r="L1720" s="4"/>
      <c r="M1720" s="4"/>
      <c r="N1720" s="67" t="b">
        <v>1</v>
      </c>
      <c r="O1720" s="4"/>
      <c r="P1720" s="4"/>
      <c r="Q1720" s="4"/>
      <c r="R1720" s="8"/>
      <c r="S1720" s="8"/>
    </row>
    <row r="1721" spans="1:24" ht="12.5">
      <c r="A1721" s="4" t="s">
        <v>381</v>
      </c>
      <c r="B1721" s="4" t="s">
        <v>119</v>
      </c>
      <c r="C1721" s="4" t="s">
        <v>3589</v>
      </c>
      <c r="E1721" s="4" t="s">
        <v>3590</v>
      </c>
      <c r="F1721" s="4" t="s">
        <v>2210</v>
      </c>
      <c r="G1721" s="32">
        <v>46155</v>
      </c>
      <c r="H1721" s="9" t="s">
        <v>956</v>
      </c>
      <c r="I1721" s="4" t="s">
        <v>459</v>
      </c>
      <c r="J1721" s="4"/>
      <c r="K1721" s="67" t="b">
        <v>1</v>
      </c>
      <c r="L1721" s="4"/>
      <c r="M1721" s="4"/>
      <c r="N1721" s="67" t="b">
        <v>1</v>
      </c>
      <c r="O1721" s="4"/>
      <c r="P1721" s="4"/>
      <c r="Q1721" s="4"/>
      <c r="R1721" s="8"/>
      <c r="S1721" s="8"/>
    </row>
    <row r="1722" spans="1:24" ht="12.5">
      <c r="A1722" s="4" t="s">
        <v>240</v>
      </c>
      <c r="B1722" s="4" t="s">
        <v>119</v>
      </c>
      <c r="C1722" s="4" t="s">
        <v>3591</v>
      </c>
      <c r="D1722" s="4" t="s">
        <v>3592</v>
      </c>
      <c r="E1722" s="4" t="s">
        <v>3593</v>
      </c>
      <c r="F1722" s="4" t="s">
        <v>3594</v>
      </c>
      <c r="G1722" s="32">
        <v>46155</v>
      </c>
      <c r="H1722" s="9" t="s">
        <v>856</v>
      </c>
      <c r="I1722" s="4" t="s">
        <v>459</v>
      </c>
      <c r="K1722" s="67" t="b">
        <v>1</v>
      </c>
      <c r="N1722" s="67" t="b">
        <v>1</v>
      </c>
      <c r="R1722" s="8"/>
      <c r="S1722" s="8"/>
    </row>
    <row r="1723" spans="1:24" ht="12.5">
      <c r="A1723" s="4" t="s">
        <v>5</v>
      </c>
      <c r="B1723" s="4" t="s">
        <v>119</v>
      </c>
      <c r="C1723" s="60" t="s">
        <v>427</v>
      </c>
      <c r="D1723" s="59" t="s">
        <v>428</v>
      </c>
      <c r="F1723" s="59" t="s">
        <v>94</v>
      </c>
      <c r="G1723" s="32">
        <v>46155</v>
      </c>
      <c r="H1723" s="9" t="s">
        <v>1094</v>
      </c>
      <c r="I1723" s="4" t="s">
        <v>448</v>
      </c>
      <c r="J1723" s="4"/>
      <c r="K1723" s="67" t="b">
        <v>1</v>
      </c>
      <c r="L1723" s="4"/>
      <c r="M1723" s="4"/>
      <c r="N1723" s="4"/>
      <c r="O1723" s="4"/>
      <c r="P1723" s="4"/>
      <c r="Q1723" s="4"/>
      <c r="R1723" s="8"/>
      <c r="S1723" s="4" t="s">
        <v>119</v>
      </c>
      <c r="T1723" s="33">
        <v>46155</v>
      </c>
      <c r="U1723" s="6">
        <v>275</v>
      </c>
      <c r="V1723" s="4">
        <v>0</v>
      </c>
      <c r="W1723" s="4">
        <v>1</v>
      </c>
      <c r="X1723" s="8">
        <v>46023</v>
      </c>
    </row>
    <row r="1724" spans="1:24" ht="12.5">
      <c r="A1724" s="4" t="s">
        <v>5</v>
      </c>
      <c r="B1724" s="4" t="s">
        <v>119</v>
      </c>
      <c r="C1724" s="4" t="s">
        <v>3595</v>
      </c>
      <c r="E1724" s="4" t="s">
        <v>3596</v>
      </c>
      <c r="F1724" s="4" t="s">
        <v>403</v>
      </c>
      <c r="G1724" s="32">
        <v>46155</v>
      </c>
      <c r="H1724" s="9" t="s">
        <v>956</v>
      </c>
      <c r="I1724" s="4" t="s">
        <v>941</v>
      </c>
      <c r="J1724" s="4"/>
      <c r="K1724" s="67" t="b">
        <v>1</v>
      </c>
      <c r="L1724" s="4"/>
      <c r="M1724" s="4"/>
      <c r="N1724" s="67" t="b">
        <v>1</v>
      </c>
      <c r="O1724" s="4"/>
      <c r="P1724" s="4"/>
      <c r="Q1724" s="4"/>
      <c r="R1724" s="8"/>
      <c r="S1724" s="8"/>
    </row>
    <row r="1725" spans="1:24" ht="12.5">
      <c r="A1725" s="4" t="s">
        <v>5</v>
      </c>
      <c r="B1725" s="4" t="s">
        <v>398</v>
      </c>
      <c r="C1725" s="4" t="s">
        <v>3597</v>
      </c>
      <c r="D1725" s="4" t="s">
        <v>3598</v>
      </c>
      <c r="E1725" s="4">
        <v>573172435667</v>
      </c>
      <c r="F1725" s="4" t="s">
        <v>3599</v>
      </c>
      <c r="G1725" s="32">
        <v>46155</v>
      </c>
      <c r="H1725" s="9" t="s">
        <v>856</v>
      </c>
      <c r="I1725" s="4" t="s">
        <v>941</v>
      </c>
      <c r="L1725" s="68" t="b">
        <v>1</v>
      </c>
      <c r="N1725" s="67"/>
      <c r="R1725" s="8"/>
      <c r="S1725" s="8"/>
    </row>
    <row r="1726" spans="1:24" ht="14">
      <c r="A1726" s="4" t="s">
        <v>5</v>
      </c>
      <c r="B1726" s="4" t="s">
        <v>119</v>
      </c>
      <c r="C1726" s="105" t="s">
        <v>3600</v>
      </c>
      <c r="D1726" s="106" t="s">
        <v>3601</v>
      </c>
      <c r="F1726" s="107" t="s">
        <v>689</v>
      </c>
      <c r="G1726" s="32">
        <v>46155</v>
      </c>
      <c r="H1726" s="9" t="s">
        <v>1094</v>
      </c>
      <c r="I1726" s="4" t="s">
        <v>2299</v>
      </c>
      <c r="J1726" s="4"/>
      <c r="K1726" s="4"/>
      <c r="L1726" s="68" t="b">
        <v>1</v>
      </c>
      <c r="M1726" s="4"/>
      <c r="N1726" s="4"/>
      <c r="O1726" s="4"/>
      <c r="P1726" s="4"/>
      <c r="Q1726" s="4"/>
      <c r="R1726" s="8"/>
      <c r="S1726" s="8"/>
    </row>
    <row r="1727" spans="1:24" ht="12.5">
      <c r="A1727" s="4" t="s">
        <v>5</v>
      </c>
      <c r="B1727" s="4" t="s">
        <v>398</v>
      </c>
      <c r="C1727" s="4" t="s">
        <v>3602</v>
      </c>
      <c r="D1727" s="4" t="s">
        <v>3603</v>
      </c>
      <c r="E1727" s="4" t="s">
        <v>3604</v>
      </c>
      <c r="F1727" s="4" t="s">
        <v>3605</v>
      </c>
      <c r="G1727" s="32">
        <v>46155</v>
      </c>
      <c r="H1727" s="9" t="s">
        <v>956</v>
      </c>
      <c r="I1727" s="4" t="s">
        <v>459</v>
      </c>
      <c r="J1727" s="4"/>
      <c r="K1727" s="67" t="b">
        <v>1</v>
      </c>
      <c r="L1727" s="4"/>
      <c r="M1727" s="4"/>
      <c r="N1727" s="4"/>
      <c r="O1727" s="4"/>
      <c r="P1727" s="4"/>
      <c r="Q1727" s="4"/>
      <c r="R1727" s="8"/>
      <c r="S1727" s="8"/>
    </row>
    <row r="1728" spans="1:24" ht="12.5">
      <c r="A1728" s="4" t="s">
        <v>5</v>
      </c>
      <c r="B1728" s="4" t="s">
        <v>119</v>
      </c>
      <c r="C1728" s="4" t="s">
        <v>3606</v>
      </c>
      <c r="D1728" s="4" t="s">
        <v>3607</v>
      </c>
      <c r="E1728" s="4">
        <v>50587168099</v>
      </c>
      <c r="F1728" s="4" t="s">
        <v>3608</v>
      </c>
      <c r="G1728" s="32">
        <v>46155</v>
      </c>
      <c r="H1728" s="9" t="s">
        <v>856</v>
      </c>
      <c r="I1728" s="4" t="s">
        <v>459</v>
      </c>
      <c r="K1728" s="67" t="b">
        <v>1</v>
      </c>
      <c r="N1728" s="67" t="b">
        <v>1</v>
      </c>
      <c r="R1728" s="8"/>
      <c r="S1728" s="8"/>
    </row>
    <row r="1729" spans="1:24" ht="12.5">
      <c r="A1729" s="4" t="s">
        <v>5</v>
      </c>
      <c r="B1729" s="4" t="s">
        <v>398</v>
      </c>
      <c r="C1729" s="4" t="s">
        <v>3609</v>
      </c>
      <c r="D1729" s="4" t="s">
        <v>3610</v>
      </c>
      <c r="E1729" s="4">
        <v>8093308260</v>
      </c>
      <c r="F1729" s="4" t="s">
        <v>59</v>
      </c>
      <c r="G1729" s="32">
        <v>46155</v>
      </c>
      <c r="H1729" s="9" t="s">
        <v>856</v>
      </c>
      <c r="I1729" s="4" t="s">
        <v>941</v>
      </c>
      <c r="K1729" s="67" t="b">
        <v>1</v>
      </c>
      <c r="R1729" s="8"/>
      <c r="S1729" s="8"/>
    </row>
    <row r="1730" spans="1:24" ht="12.5">
      <c r="A1730" s="4" t="s">
        <v>5</v>
      </c>
      <c r="B1730" s="4" t="s">
        <v>119</v>
      </c>
      <c r="C1730" s="4" t="s">
        <v>429</v>
      </c>
      <c r="D1730" s="4" t="s">
        <v>430</v>
      </c>
      <c r="E1730" s="4">
        <v>34635482349</v>
      </c>
      <c r="F1730" s="4" t="s">
        <v>431</v>
      </c>
      <c r="G1730" s="32">
        <v>46155</v>
      </c>
      <c r="H1730" s="9" t="s">
        <v>856</v>
      </c>
      <c r="I1730" s="4" t="s">
        <v>448</v>
      </c>
      <c r="K1730" s="67" t="b">
        <v>1</v>
      </c>
      <c r="R1730" s="8"/>
      <c r="S1730" s="4" t="s">
        <v>119</v>
      </c>
      <c r="T1730" s="33">
        <v>46156</v>
      </c>
      <c r="U1730" s="6">
        <v>375</v>
      </c>
      <c r="V1730" s="6">
        <v>375</v>
      </c>
      <c r="W1730" s="4">
        <v>2</v>
      </c>
      <c r="X1730" s="8">
        <v>46054</v>
      </c>
    </row>
    <row r="1731" spans="1:24" ht="12.5">
      <c r="A1731" s="4" t="s">
        <v>5</v>
      </c>
      <c r="B1731" s="4" t="s">
        <v>398</v>
      </c>
      <c r="C1731" s="4" t="s">
        <v>3611</v>
      </c>
      <c r="D1731" s="4" t="s">
        <v>3612</v>
      </c>
      <c r="E1731" s="4">
        <v>525531326492</v>
      </c>
      <c r="F1731" s="4" t="s">
        <v>94</v>
      </c>
      <c r="G1731" s="32">
        <v>46156</v>
      </c>
      <c r="H1731" s="9" t="s">
        <v>856</v>
      </c>
      <c r="I1731" s="4" t="s">
        <v>941</v>
      </c>
      <c r="K1731" s="67" t="b">
        <v>1</v>
      </c>
      <c r="R1731" s="8"/>
      <c r="S1731" s="8"/>
    </row>
    <row r="1732" spans="1:24" ht="12.5">
      <c r="A1732" s="4" t="s">
        <v>5</v>
      </c>
      <c r="B1732" s="4" t="s">
        <v>398</v>
      </c>
      <c r="C1732" s="4" t="s">
        <v>434</v>
      </c>
      <c r="D1732" s="57" t="s">
        <v>435</v>
      </c>
      <c r="E1732" s="4" t="s">
        <v>436</v>
      </c>
      <c r="F1732" s="4" t="s">
        <v>56</v>
      </c>
      <c r="G1732" s="32">
        <v>46156</v>
      </c>
      <c r="H1732" s="9" t="s">
        <v>956</v>
      </c>
      <c r="I1732" s="4" t="s">
        <v>448</v>
      </c>
      <c r="J1732" s="4"/>
      <c r="K1732" s="67" t="b">
        <v>1</v>
      </c>
      <c r="L1732" s="4"/>
      <c r="M1732" s="4"/>
      <c r="N1732" s="4"/>
      <c r="O1732" s="4"/>
      <c r="P1732" s="4"/>
      <c r="Q1732" s="4"/>
      <c r="R1732" s="8"/>
      <c r="S1732" s="4" t="s">
        <v>398</v>
      </c>
      <c r="T1732" s="16">
        <v>46157</v>
      </c>
      <c r="U1732" s="6">
        <v>95</v>
      </c>
      <c r="V1732" s="4">
        <v>0</v>
      </c>
      <c r="W1732" s="4">
        <v>1</v>
      </c>
      <c r="X1732" s="8">
        <v>46023</v>
      </c>
    </row>
    <row r="1733" spans="1:24" ht="12.5">
      <c r="A1733" s="4" t="s">
        <v>5</v>
      </c>
      <c r="B1733" s="4" t="s">
        <v>398</v>
      </c>
      <c r="C1733" s="4" t="s">
        <v>3613</v>
      </c>
      <c r="E1733" s="4" t="s">
        <v>3614</v>
      </c>
      <c r="F1733" s="4" t="s">
        <v>319</v>
      </c>
      <c r="G1733" s="32">
        <v>46156</v>
      </c>
      <c r="H1733" s="9" t="s">
        <v>956</v>
      </c>
      <c r="I1733" s="4" t="s">
        <v>459</v>
      </c>
      <c r="J1733" s="4"/>
      <c r="K1733" s="67" t="b">
        <v>1</v>
      </c>
      <c r="L1733" s="4"/>
      <c r="M1733" s="4"/>
      <c r="N1733" s="4"/>
      <c r="O1733" s="4"/>
      <c r="P1733" s="4"/>
      <c r="Q1733" s="4"/>
      <c r="R1733" s="8"/>
      <c r="S1733" s="8"/>
    </row>
    <row r="1734" spans="1:24" ht="12.5">
      <c r="A1734" s="4" t="s">
        <v>5</v>
      </c>
      <c r="B1734" s="4" t="s">
        <v>398</v>
      </c>
      <c r="C1734" s="4" t="s">
        <v>3615</v>
      </c>
      <c r="E1734" s="4" t="s">
        <v>3616</v>
      </c>
      <c r="F1734" s="4" t="s">
        <v>3617</v>
      </c>
      <c r="G1734" s="32">
        <v>46156</v>
      </c>
      <c r="H1734" s="9" t="s">
        <v>956</v>
      </c>
      <c r="I1734" s="4" t="s">
        <v>459</v>
      </c>
      <c r="J1734" s="4"/>
      <c r="K1734" s="67" t="b">
        <v>1</v>
      </c>
      <c r="L1734" s="4"/>
      <c r="M1734" s="4"/>
      <c r="N1734" s="4"/>
      <c r="O1734" s="4"/>
      <c r="P1734" s="4"/>
      <c r="Q1734" s="4"/>
      <c r="R1734" s="8"/>
      <c r="S1734" s="8"/>
    </row>
    <row r="1735" spans="1:24" ht="12.5">
      <c r="A1735" s="4" t="s">
        <v>5</v>
      </c>
      <c r="B1735" s="4" t="s">
        <v>119</v>
      </c>
      <c r="C1735" s="4" t="s">
        <v>3618</v>
      </c>
      <c r="D1735" s="4" t="s">
        <v>3619</v>
      </c>
      <c r="E1735" s="4">
        <v>34627878685</v>
      </c>
      <c r="F1735" s="4" t="s">
        <v>69</v>
      </c>
      <c r="G1735" s="32">
        <v>46156</v>
      </c>
      <c r="H1735" s="9" t="s">
        <v>856</v>
      </c>
      <c r="I1735" s="4" t="s">
        <v>459</v>
      </c>
      <c r="K1735" s="67" t="b">
        <v>1</v>
      </c>
      <c r="N1735" s="67" t="b">
        <v>1</v>
      </c>
      <c r="R1735" s="8"/>
      <c r="S1735" s="8"/>
    </row>
    <row r="1736" spans="1:24" ht="12.5">
      <c r="A1736" s="4" t="s">
        <v>240</v>
      </c>
      <c r="B1736" s="4" t="s">
        <v>119</v>
      </c>
      <c r="E1736" s="4" t="s">
        <v>3620</v>
      </c>
      <c r="F1736" s="4" t="s">
        <v>3621</v>
      </c>
      <c r="G1736" s="32">
        <v>46156</v>
      </c>
      <c r="H1736" s="9" t="s">
        <v>956</v>
      </c>
      <c r="I1736" s="4" t="s">
        <v>459</v>
      </c>
      <c r="J1736" s="4"/>
      <c r="K1736" s="4"/>
      <c r="L1736" s="4"/>
      <c r="M1736" s="4"/>
      <c r="N1736" s="4"/>
      <c r="O1736" s="4"/>
      <c r="P1736" s="4"/>
      <c r="Q1736" s="4"/>
      <c r="R1736" s="8"/>
      <c r="S1736" s="8"/>
    </row>
    <row r="1737" spans="1:24" ht="12.5">
      <c r="A1737" s="4" t="s">
        <v>381</v>
      </c>
      <c r="B1737" s="4" t="s">
        <v>398</v>
      </c>
      <c r="C1737" s="4" t="s">
        <v>3622</v>
      </c>
      <c r="E1737" s="4" t="s">
        <v>3623</v>
      </c>
      <c r="F1737" s="4" t="s">
        <v>3624</v>
      </c>
      <c r="G1737" s="32">
        <v>46156</v>
      </c>
      <c r="H1737" s="9" t="s">
        <v>956</v>
      </c>
      <c r="I1737" s="4" t="s">
        <v>941</v>
      </c>
      <c r="J1737" s="4"/>
      <c r="K1737" s="67" t="b">
        <v>1</v>
      </c>
      <c r="L1737" s="4"/>
      <c r="M1737" s="4"/>
      <c r="N1737" s="4"/>
      <c r="O1737" s="4"/>
      <c r="P1737" s="4"/>
      <c r="Q1737" s="4"/>
      <c r="R1737" s="8"/>
      <c r="S1737" s="8"/>
    </row>
    <row r="1738" spans="1:24" ht="12.5">
      <c r="A1738" s="4" t="s">
        <v>5</v>
      </c>
      <c r="B1738" s="4" t="s">
        <v>398</v>
      </c>
      <c r="C1738" s="4" t="s">
        <v>3625</v>
      </c>
      <c r="D1738" s="4" t="s">
        <v>3626</v>
      </c>
      <c r="E1738" s="4">
        <v>34625120409</v>
      </c>
      <c r="F1738" s="4" t="s">
        <v>3331</v>
      </c>
      <c r="G1738" s="32">
        <v>46156</v>
      </c>
      <c r="H1738" s="9" t="s">
        <v>856</v>
      </c>
      <c r="I1738" s="4" t="s">
        <v>459</v>
      </c>
      <c r="K1738" s="67" t="b">
        <v>1</v>
      </c>
      <c r="R1738" s="8"/>
      <c r="S1738" s="8"/>
    </row>
    <row r="1739" spans="1:24" ht="12.5">
      <c r="A1739" s="4" t="s">
        <v>5</v>
      </c>
      <c r="B1739" s="4" t="s">
        <v>119</v>
      </c>
      <c r="C1739" s="4" t="s">
        <v>3627</v>
      </c>
      <c r="D1739" s="4" t="s">
        <v>3628</v>
      </c>
      <c r="E1739" s="4">
        <v>34657685606</v>
      </c>
      <c r="F1739" s="4" t="s">
        <v>3629</v>
      </c>
      <c r="G1739" s="32">
        <v>46156</v>
      </c>
      <c r="H1739" s="9" t="s">
        <v>856</v>
      </c>
      <c r="I1739" s="4" t="s">
        <v>459</v>
      </c>
      <c r="K1739" s="67" t="b">
        <v>1</v>
      </c>
      <c r="N1739" s="67" t="b">
        <v>1</v>
      </c>
      <c r="R1739" s="8"/>
      <c r="S1739" s="8"/>
    </row>
    <row r="1740" spans="1:24" ht="12.5">
      <c r="A1740" s="4" t="s">
        <v>5</v>
      </c>
      <c r="B1740" s="4" t="s">
        <v>398</v>
      </c>
      <c r="C1740" s="4" t="s">
        <v>3227</v>
      </c>
      <c r="D1740" s="4" t="s">
        <v>3630</v>
      </c>
      <c r="E1740" s="4">
        <v>34653500339</v>
      </c>
      <c r="F1740" s="4" t="s">
        <v>423</v>
      </c>
      <c r="G1740" s="32">
        <v>46156</v>
      </c>
      <c r="H1740" s="9" t="s">
        <v>856</v>
      </c>
      <c r="I1740" s="4" t="s">
        <v>941</v>
      </c>
      <c r="K1740" s="67" t="b">
        <v>1</v>
      </c>
      <c r="R1740" s="8"/>
      <c r="S1740" s="8"/>
    </row>
    <row r="1741" spans="1:24" ht="12.5">
      <c r="A1741" s="4" t="s">
        <v>5</v>
      </c>
      <c r="B1741" s="4" t="s">
        <v>119</v>
      </c>
      <c r="C1741" s="4" t="s">
        <v>3631</v>
      </c>
      <c r="E1741" s="4" t="s">
        <v>3632</v>
      </c>
      <c r="F1741" s="4" t="s">
        <v>66</v>
      </c>
      <c r="G1741" s="32">
        <v>46156</v>
      </c>
      <c r="H1741" s="9" t="s">
        <v>956</v>
      </c>
      <c r="I1741" s="4" t="s">
        <v>459</v>
      </c>
      <c r="J1741" s="4"/>
      <c r="K1741" s="67" t="b">
        <v>1</v>
      </c>
      <c r="L1741" s="4"/>
      <c r="M1741" s="4"/>
      <c r="N1741" s="67" t="b">
        <v>1</v>
      </c>
      <c r="O1741" s="4"/>
      <c r="P1741" s="4"/>
      <c r="Q1741" s="4"/>
      <c r="R1741" s="8"/>
      <c r="S1741" s="8"/>
    </row>
    <row r="1742" spans="1:24" ht="12.5">
      <c r="A1742" s="4" t="s">
        <v>240</v>
      </c>
      <c r="B1742" s="4" t="s">
        <v>119</v>
      </c>
      <c r="C1742" s="4" t="s">
        <v>1046</v>
      </c>
      <c r="D1742" s="4" t="s">
        <v>3633</v>
      </c>
      <c r="E1742" s="4">
        <v>584242439474</v>
      </c>
      <c r="F1742" s="4" t="s">
        <v>3634</v>
      </c>
      <c r="G1742" s="32">
        <v>46156</v>
      </c>
      <c r="H1742" s="9" t="s">
        <v>856</v>
      </c>
      <c r="I1742" s="4" t="s">
        <v>1431</v>
      </c>
      <c r="K1742" s="67" t="b">
        <v>0</v>
      </c>
      <c r="R1742" s="8"/>
      <c r="S1742" s="8"/>
    </row>
    <row r="1743" spans="1:24" ht="12.5">
      <c r="A1743" s="4" t="s">
        <v>240</v>
      </c>
      <c r="B1743" s="4" t="s">
        <v>398</v>
      </c>
      <c r="C1743" s="4" t="s">
        <v>1046</v>
      </c>
      <c r="D1743" s="4" t="s">
        <v>3073</v>
      </c>
      <c r="E1743" s="4">
        <v>584242439474</v>
      </c>
      <c r="F1743" s="4" t="s">
        <v>3635</v>
      </c>
      <c r="G1743" s="32">
        <v>46156</v>
      </c>
      <c r="H1743" s="9" t="s">
        <v>856</v>
      </c>
      <c r="I1743" s="4" t="s">
        <v>1431</v>
      </c>
      <c r="K1743" s="67" t="b">
        <v>0</v>
      </c>
      <c r="R1743" s="8"/>
      <c r="S1743" s="8"/>
    </row>
    <row r="1744" spans="1:24" ht="12.5">
      <c r="A1744" s="4" t="s">
        <v>240</v>
      </c>
      <c r="B1744" s="4" t="s">
        <v>119</v>
      </c>
      <c r="C1744" s="4" t="s">
        <v>3636</v>
      </c>
      <c r="D1744" s="4" t="s">
        <v>3637</v>
      </c>
      <c r="E1744" s="4">
        <v>5823232</v>
      </c>
      <c r="F1744" s="4" t="s">
        <v>3638</v>
      </c>
      <c r="G1744" s="32">
        <v>46156</v>
      </c>
      <c r="H1744" s="9" t="s">
        <v>856</v>
      </c>
      <c r="I1744" s="4" t="s">
        <v>1431</v>
      </c>
      <c r="K1744" s="67" t="b">
        <v>0</v>
      </c>
      <c r="R1744" s="8"/>
      <c r="S1744" s="8"/>
    </row>
    <row r="1745" spans="1:19" ht="12.5">
      <c r="A1745" s="4" t="s">
        <v>5</v>
      </c>
      <c r="B1745" s="4" t="s">
        <v>119</v>
      </c>
      <c r="C1745" s="4" t="s">
        <v>3639</v>
      </c>
      <c r="E1745" s="4" t="s">
        <v>3640</v>
      </c>
      <c r="G1745" s="32">
        <v>46157</v>
      </c>
      <c r="H1745" s="9" t="s">
        <v>956</v>
      </c>
      <c r="I1745" s="4" t="s">
        <v>459</v>
      </c>
      <c r="J1745" s="4"/>
      <c r="K1745" s="67" t="b">
        <v>1</v>
      </c>
      <c r="L1745" s="4"/>
      <c r="M1745" s="4"/>
      <c r="N1745" s="4"/>
      <c r="O1745" s="4"/>
      <c r="P1745" s="4"/>
      <c r="Q1745" s="4"/>
      <c r="R1745" s="8"/>
      <c r="S1745" s="8"/>
    </row>
    <row r="1746" spans="1:19" ht="12.5">
      <c r="I1746" s="4"/>
      <c r="J1746" s="4"/>
      <c r="K1746" s="4"/>
      <c r="L1746" s="4"/>
      <c r="M1746" s="4"/>
      <c r="N1746" s="4"/>
      <c r="O1746" s="4"/>
      <c r="P1746" s="4"/>
      <c r="Q1746" s="4"/>
      <c r="R1746" s="8"/>
      <c r="S1746" s="8"/>
    </row>
    <row r="1747" spans="1:19" ht="12.5">
      <c r="I1747" s="4"/>
      <c r="J1747" s="4"/>
      <c r="K1747" s="4"/>
      <c r="L1747" s="4"/>
      <c r="M1747" s="4"/>
      <c r="N1747" s="4"/>
      <c r="O1747" s="4"/>
      <c r="P1747" s="4"/>
      <c r="Q1747" s="4"/>
      <c r="R1747" s="8"/>
      <c r="S1747" s="8"/>
    </row>
    <row r="1748" spans="1:19" ht="12.5">
      <c r="I1748" s="4"/>
      <c r="J1748" s="4"/>
      <c r="K1748" s="4"/>
      <c r="L1748" s="4"/>
      <c r="M1748" s="4"/>
      <c r="N1748" s="4"/>
      <c r="O1748" s="4"/>
      <c r="P1748" s="4"/>
      <c r="Q1748" s="4"/>
      <c r="R1748" s="8"/>
      <c r="S1748" s="8"/>
    </row>
    <row r="1749" spans="1:19" ht="12.5">
      <c r="I1749" s="4"/>
      <c r="J1749" s="4"/>
      <c r="K1749" s="4"/>
      <c r="L1749" s="4"/>
      <c r="M1749" s="4"/>
      <c r="N1749" s="4"/>
      <c r="O1749" s="4"/>
      <c r="P1749" s="4"/>
      <c r="Q1749" s="4"/>
      <c r="R1749" s="8"/>
      <c r="S1749" s="8"/>
    </row>
    <row r="1750" spans="1:19" ht="12.5">
      <c r="I1750" s="4"/>
      <c r="J1750" s="4"/>
      <c r="K1750" s="4"/>
      <c r="L1750" s="4"/>
      <c r="M1750" s="4"/>
      <c r="N1750" s="4"/>
      <c r="O1750" s="4"/>
      <c r="P1750" s="4"/>
      <c r="Q1750" s="4"/>
      <c r="R1750" s="8"/>
      <c r="S1750" s="8"/>
    </row>
    <row r="1751" spans="1:19" ht="12.5">
      <c r="I1751" s="4"/>
      <c r="J1751" s="4"/>
      <c r="K1751" s="4"/>
      <c r="L1751" s="4"/>
      <c r="M1751" s="4"/>
      <c r="N1751" s="4"/>
      <c r="O1751" s="4"/>
      <c r="P1751" s="4"/>
      <c r="Q1751" s="4"/>
      <c r="R1751" s="8"/>
      <c r="S1751" s="8"/>
    </row>
    <row r="1752" spans="1:19" ht="12.5">
      <c r="I1752" s="4"/>
      <c r="J1752" s="4"/>
      <c r="K1752" s="4"/>
      <c r="L1752" s="4"/>
      <c r="M1752" s="4"/>
      <c r="N1752" s="4"/>
      <c r="O1752" s="4"/>
      <c r="P1752" s="4"/>
      <c r="Q1752" s="4"/>
      <c r="R1752" s="8"/>
      <c r="S1752" s="8"/>
    </row>
    <row r="1753" spans="1:19" ht="12.5">
      <c r="I1753" s="4"/>
      <c r="J1753" s="4"/>
      <c r="K1753" s="4"/>
      <c r="L1753" s="4"/>
      <c r="M1753" s="4"/>
      <c r="N1753" s="4"/>
      <c r="O1753" s="4"/>
      <c r="P1753" s="4"/>
      <c r="Q1753" s="4"/>
      <c r="R1753" s="8"/>
      <c r="S1753" s="8"/>
    </row>
    <row r="1754" spans="1:19" ht="12.5">
      <c r="I1754" s="4"/>
      <c r="J1754" s="4"/>
      <c r="K1754" s="4"/>
      <c r="L1754" s="4"/>
      <c r="M1754" s="4"/>
      <c r="N1754" s="4"/>
      <c r="O1754" s="4"/>
      <c r="P1754" s="4"/>
      <c r="Q1754" s="4"/>
      <c r="R1754" s="8"/>
      <c r="S1754" s="8"/>
    </row>
    <row r="1755" spans="1:19" ht="12.5">
      <c r="I1755" s="4"/>
      <c r="J1755" s="4"/>
      <c r="K1755" s="4"/>
      <c r="L1755" s="4"/>
      <c r="M1755" s="4"/>
      <c r="N1755" s="4"/>
      <c r="O1755" s="4"/>
      <c r="P1755" s="4"/>
      <c r="Q1755" s="4"/>
      <c r="R1755" s="8"/>
      <c r="S1755" s="8"/>
    </row>
    <row r="1756" spans="1:19" ht="12.5">
      <c r="I1756" s="4"/>
      <c r="J1756" s="4"/>
      <c r="K1756" s="4"/>
      <c r="L1756" s="4"/>
      <c r="M1756" s="4"/>
      <c r="N1756" s="4"/>
      <c r="O1756" s="4"/>
      <c r="P1756" s="4"/>
      <c r="Q1756" s="4"/>
      <c r="R1756" s="8"/>
      <c r="S1756" s="8"/>
    </row>
    <row r="1757" spans="1:19" ht="12.5">
      <c r="I1757" s="4"/>
      <c r="J1757" s="4"/>
      <c r="K1757" s="4"/>
      <c r="L1757" s="4"/>
      <c r="M1757" s="4"/>
      <c r="N1757" s="4"/>
      <c r="O1757" s="4"/>
      <c r="P1757" s="4"/>
      <c r="Q1757" s="4"/>
      <c r="R1757" s="8"/>
      <c r="S1757" s="8"/>
    </row>
    <row r="1758" spans="1:19" ht="12.5">
      <c r="I1758" s="4"/>
      <c r="J1758" s="4"/>
      <c r="K1758" s="4"/>
      <c r="L1758" s="4"/>
      <c r="M1758" s="4"/>
      <c r="N1758" s="4"/>
      <c r="O1758" s="4"/>
      <c r="P1758" s="4"/>
      <c r="Q1758" s="4"/>
      <c r="R1758" s="8"/>
      <c r="S1758" s="8"/>
    </row>
    <row r="1759" spans="1:19" ht="12.5">
      <c r="I1759" s="4"/>
      <c r="J1759" s="4"/>
      <c r="K1759" s="4"/>
      <c r="L1759" s="4"/>
      <c r="M1759" s="4"/>
      <c r="N1759" s="4"/>
      <c r="O1759" s="4"/>
      <c r="P1759" s="4"/>
      <c r="Q1759" s="4"/>
      <c r="R1759" s="8"/>
      <c r="S1759" s="8"/>
    </row>
    <row r="1760" spans="1:19" ht="12.5">
      <c r="I1760" s="4"/>
      <c r="J1760" s="4"/>
      <c r="K1760" s="4"/>
      <c r="L1760" s="4"/>
      <c r="M1760" s="4"/>
      <c r="N1760" s="4"/>
      <c r="O1760" s="4"/>
      <c r="P1760" s="4"/>
      <c r="Q1760" s="4"/>
      <c r="R1760" s="8"/>
      <c r="S1760" s="8"/>
    </row>
    <row r="1761" spans="9:19" ht="12.5">
      <c r="I1761" s="4"/>
      <c r="J1761" s="4"/>
      <c r="K1761" s="4"/>
      <c r="L1761" s="4"/>
      <c r="M1761" s="4"/>
      <c r="N1761" s="4"/>
      <c r="O1761" s="4"/>
      <c r="P1761" s="4"/>
      <c r="Q1761" s="4"/>
      <c r="R1761" s="8"/>
      <c r="S1761" s="8"/>
    </row>
    <row r="1762" spans="9:19" ht="12.5">
      <c r="I1762" s="4"/>
      <c r="J1762" s="4"/>
      <c r="K1762" s="4"/>
      <c r="L1762" s="4"/>
      <c r="M1762" s="4"/>
      <c r="N1762" s="4"/>
      <c r="O1762" s="4"/>
      <c r="P1762" s="4"/>
      <c r="Q1762" s="4"/>
      <c r="R1762" s="8"/>
      <c r="S1762" s="8"/>
    </row>
    <row r="1763" spans="9:19" ht="12.5">
      <c r="I1763" s="4"/>
      <c r="J1763" s="4"/>
      <c r="K1763" s="4"/>
      <c r="L1763" s="4"/>
      <c r="M1763" s="4"/>
      <c r="N1763" s="4"/>
      <c r="O1763" s="4"/>
      <c r="P1763" s="4"/>
      <c r="Q1763" s="4"/>
      <c r="R1763" s="8"/>
      <c r="S1763" s="8"/>
    </row>
    <row r="1764" spans="9:19" ht="12.5">
      <c r="I1764" s="4"/>
      <c r="J1764" s="4"/>
      <c r="K1764" s="4"/>
      <c r="L1764" s="4"/>
      <c r="M1764" s="4"/>
      <c r="N1764" s="4"/>
      <c r="O1764" s="4"/>
      <c r="P1764" s="4"/>
      <c r="Q1764" s="4"/>
      <c r="R1764" s="8"/>
      <c r="S1764" s="8"/>
    </row>
    <row r="1765" spans="9:19" ht="12.5">
      <c r="I1765" s="4"/>
      <c r="J1765" s="4"/>
      <c r="K1765" s="4"/>
      <c r="L1765" s="4"/>
      <c r="M1765" s="4"/>
      <c r="N1765" s="4"/>
      <c r="O1765" s="4"/>
      <c r="P1765" s="4"/>
      <c r="Q1765" s="4"/>
      <c r="R1765" s="8"/>
      <c r="S1765" s="8"/>
    </row>
    <row r="1766" spans="9:19" ht="12.5">
      <c r="I1766" s="4"/>
      <c r="J1766" s="4"/>
      <c r="K1766" s="4"/>
      <c r="L1766" s="4"/>
      <c r="M1766" s="4"/>
      <c r="N1766" s="4"/>
      <c r="O1766" s="4"/>
      <c r="P1766" s="4"/>
      <c r="Q1766" s="4"/>
      <c r="R1766" s="8"/>
      <c r="S1766" s="8"/>
    </row>
    <row r="1767" spans="9:19" ht="12.5">
      <c r="I1767" s="4"/>
      <c r="J1767" s="4"/>
      <c r="K1767" s="4"/>
      <c r="L1767" s="4"/>
      <c r="M1767" s="4"/>
      <c r="N1767" s="4"/>
      <c r="O1767" s="4"/>
      <c r="P1767" s="4"/>
      <c r="Q1767" s="4"/>
      <c r="R1767" s="8"/>
      <c r="S1767" s="8"/>
    </row>
    <row r="1768" spans="9:19" ht="12.5">
      <c r="I1768" s="4"/>
      <c r="J1768" s="4"/>
      <c r="K1768" s="4"/>
      <c r="L1768" s="4"/>
      <c r="M1768" s="4"/>
      <c r="N1768" s="4"/>
      <c r="O1768" s="4"/>
      <c r="P1768" s="4"/>
      <c r="Q1768" s="4"/>
      <c r="R1768" s="8"/>
      <c r="S1768" s="8"/>
    </row>
    <row r="1769" spans="9:19" ht="12.5">
      <c r="I1769" s="4"/>
      <c r="J1769" s="4"/>
      <c r="K1769" s="4"/>
      <c r="L1769" s="4"/>
      <c r="M1769" s="4"/>
      <c r="N1769" s="4"/>
      <c r="O1769" s="4"/>
      <c r="P1769" s="4"/>
      <c r="Q1769" s="4"/>
      <c r="R1769" s="8"/>
      <c r="S1769" s="8"/>
    </row>
    <row r="1770" spans="9:19" ht="12.5">
      <c r="I1770" s="4"/>
      <c r="J1770" s="4"/>
      <c r="K1770" s="4"/>
      <c r="L1770" s="4"/>
      <c r="M1770" s="4"/>
      <c r="N1770" s="4"/>
      <c r="O1770" s="4"/>
      <c r="P1770" s="4"/>
      <c r="Q1770" s="4"/>
      <c r="R1770" s="8"/>
      <c r="S1770" s="8"/>
    </row>
    <row r="1771" spans="9:19" ht="12.5">
      <c r="I1771" s="4"/>
      <c r="J1771" s="4"/>
      <c r="K1771" s="4"/>
      <c r="L1771" s="4"/>
      <c r="M1771" s="4"/>
      <c r="N1771" s="4"/>
      <c r="O1771" s="4"/>
      <c r="P1771" s="4"/>
      <c r="Q1771" s="4"/>
      <c r="R1771" s="8"/>
      <c r="S1771" s="8"/>
    </row>
    <row r="1772" spans="9:19" ht="12.5">
      <c r="I1772" s="4"/>
      <c r="J1772" s="4"/>
      <c r="K1772" s="4"/>
      <c r="L1772" s="4"/>
      <c r="M1772" s="4"/>
      <c r="N1772" s="4"/>
      <c r="O1772" s="4"/>
      <c r="P1772" s="4"/>
      <c r="Q1772" s="4"/>
      <c r="R1772" s="8"/>
      <c r="S1772" s="8"/>
    </row>
    <row r="1773" spans="9:19" ht="12.5">
      <c r="I1773" s="4"/>
      <c r="J1773" s="4"/>
      <c r="K1773" s="4"/>
      <c r="L1773" s="4"/>
      <c r="M1773" s="4"/>
      <c r="N1773" s="4"/>
      <c r="O1773" s="4"/>
      <c r="P1773" s="4"/>
      <c r="Q1773" s="4"/>
      <c r="R1773" s="8"/>
      <c r="S1773" s="8"/>
    </row>
    <row r="1774" spans="9:19" ht="12.5">
      <c r="I1774" s="4"/>
      <c r="J1774" s="4"/>
      <c r="K1774" s="4"/>
      <c r="L1774" s="4"/>
      <c r="M1774" s="4"/>
      <c r="N1774" s="4"/>
      <c r="O1774" s="4"/>
      <c r="P1774" s="4"/>
      <c r="Q1774" s="4"/>
      <c r="R1774" s="8"/>
      <c r="S1774" s="8"/>
    </row>
    <row r="1775" spans="9:19" ht="12.5">
      <c r="I1775" s="4"/>
      <c r="J1775" s="4"/>
      <c r="K1775" s="4"/>
      <c r="L1775" s="4"/>
      <c r="M1775" s="4"/>
      <c r="N1775" s="4"/>
      <c r="O1775" s="4"/>
      <c r="P1775" s="4"/>
      <c r="Q1775" s="4"/>
      <c r="R1775" s="8"/>
      <c r="S1775" s="8"/>
    </row>
    <row r="1776" spans="9:19" ht="12.5">
      <c r="I1776" s="4"/>
      <c r="J1776" s="4"/>
      <c r="K1776" s="4"/>
      <c r="L1776" s="4"/>
      <c r="M1776" s="4"/>
      <c r="N1776" s="4"/>
      <c r="O1776" s="4"/>
      <c r="P1776" s="4"/>
      <c r="Q1776" s="4"/>
      <c r="R1776" s="8"/>
      <c r="S1776" s="8"/>
    </row>
    <row r="1777" spans="9:19" ht="12.5">
      <c r="I1777" s="4"/>
      <c r="J1777" s="4"/>
      <c r="K1777" s="4"/>
      <c r="L1777" s="4"/>
      <c r="M1777" s="4"/>
      <c r="N1777" s="4"/>
      <c r="O1777" s="4"/>
      <c r="P1777" s="4"/>
      <c r="Q1777" s="4"/>
      <c r="R1777" s="8"/>
      <c r="S1777" s="8"/>
    </row>
    <row r="1778" spans="9:19" ht="12.5">
      <c r="I1778" s="4"/>
      <c r="J1778" s="4"/>
      <c r="K1778" s="4"/>
      <c r="L1778" s="4"/>
      <c r="M1778" s="4"/>
      <c r="N1778" s="4"/>
      <c r="O1778" s="4"/>
      <c r="P1778" s="4"/>
      <c r="Q1778" s="4"/>
      <c r="R1778" s="8"/>
      <c r="S1778" s="8"/>
    </row>
    <row r="1779" spans="9:19" ht="12.5">
      <c r="I1779" s="4"/>
      <c r="J1779" s="4"/>
      <c r="K1779" s="4"/>
      <c r="L1779" s="4"/>
      <c r="M1779" s="4"/>
      <c r="N1779" s="4"/>
      <c r="O1779" s="4"/>
      <c r="P1779" s="4"/>
      <c r="Q1779" s="4"/>
      <c r="R1779" s="8"/>
      <c r="S1779" s="8"/>
    </row>
    <row r="1780" spans="9:19" ht="12.5">
      <c r="I1780" s="4"/>
      <c r="J1780" s="4"/>
      <c r="K1780" s="4"/>
      <c r="L1780" s="4"/>
      <c r="M1780" s="4"/>
      <c r="N1780" s="4"/>
      <c r="O1780" s="4"/>
      <c r="P1780" s="4"/>
      <c r="Q1780" s="4"/>
      <c r="R1780" s="8"/>
      <c r="S1780" s="8"/>
    </row>
    <row r="1781" spans="9:19" ht="12.5">
      <c r="I1781" s="4"/>
      <c r="J1781" s="4"/>
      <c r="K1781" s="4"/>
      <c r="L1781" s="4"/>
      <c r="M1781" s="4"/>
      <c r="N1781" s="4"/>
      <c r="O1781" s="4"/>
      <c r="P1781" s="4"/>
      <c r="Q1781" s="4"/>
      <c r="R1781" s="8"/>
      <c r="S1781" s="8"/>
    </row>
    <row r="1782" spans="9:19" ht="12.5">
      <c r="I1782" s="4"/>
      <c r="J1782" s="4"/>
      <c r="K1782" s="4"/>
      <c r="L1782" s="4"/>
      <c r="M1782" s="4"/>
      <c r="N1782" s="4"/>
      <c r="O1782" s="4"/>
      <c r="P1782" s="4"/>
      <c r="Q1782" s="4"/>
      <c r="R1782" s="8"/>
      <c r="S1782" s="8"/>
    </row>
    <row r="1783" spans="9:19" ht="12.5">
      <c r="I1783" s="4"/>
      <c r="J1783" s="4"/>
      <c r="K1783" s="4"/>
      <c r="L1783" s="4"/>
      <c r="M1783" s="4"/>
      <c r="N1783" s="4"/>
      <c r="O1783" s="4"/>
      <c r="P1783" s="4"/>
      <c r="Q1783" s="4"/>
      <c r="R1783" s="8"/>
      <c r="S1783" s="8"/>
    </row>
    <row r="1784" spans="9:19" ht="12.5">
      <c r="I1784" s="4"/>
      <c r="J1784" s="4"/>
      <c r="K1784" s="4"/>
      <c r="L1784" s="4"/>
      <c r="M1784" s="4"/>
      <c r="N1784" s="4"/>
      <c r="O1784" s="4"/>
      <c r="P1784" s="4"/>
      <c r="Q1784" s="4"/>
      <c r="R1784" s="8"/>
      <c r="S1784" s="8"/>
    </row>
    <row r="1785" spans="9:19" ht="12.5">
      <c r="I1785" s="4"/>
      <c r="J1785" s="4"/>
      <c r="K1785" s="4"/>
      <c r="L1785" s="4"/>
      <c r="M1785" s="4"/>
      <c r="N1785" s="4"/>
      <c r="O1785" s="4"/>
      <c r="P1785" s="4"/>
      <c r="Q1785" s="4"/>
      <c r="R1785" s="8"/>
      <c r="S1785" s="8"/>
    </row>
    <row r="1786" spans="9:19" ht="12.5">
      <c r="I1786" s="4"/>
      <c r="J1786" s="4"/>
      <c r="K1786" s="4"/>
      <c r="L1786" s="4"/>
      <c r="M1786" s="4"/>
      <c r="N1786" s="4"/>
      <c r="O1786" s="4"/>
      <c r="P1786" s="4"/>
      <c r="Q1786" s="4"/>
      <c r="R1786" s="8"/>
      <c r="S1786" s="8"/>
    </row>
    <row r="1787" spans="9:19" ht="12.5">
      <c r="I1787" s="4"/>
      <c r="J1787" s="4"/>
      <c r="K1787" s="4"/>
      <c r="L1787" s="4"/>
      <c r="M1787" s="4"/>
      <c r="N1787" s="4"/>
      <c r="O1787" s="4"/>
      <c r="P1787" s="4"/>
      <c r="Q1787" s="4"/>
      <c r="R1787" s="8"/>
      <c r="S1787" s="8"/>
    </row>
    <row r="1788" spans="9:19" ht="12.5">
      <c r="I1788" s="4"/>
      <c r="J1788" s="4"/>
      <c r="K1788" s="4"/>
      <c r="L1788" s="4"/>
      <c r="M1788" s="4"/>
      <c r="N1788" s="4"/>
      <c r="O1788" s="4"/>
      <c r="P1788" s="4"/>
      <c r="Q1788" s="4"/>
      <c r="R1788" s="8"/>
      <c r="S1788" s="8"/>
    </row>
    <row r="1789" spans="9:19" ht="12.5">
      <c r="I1789" s="4"/>
      <c r="J1789" s="4"/>
      <c r="K1789" s="4"/>
      <c r="L1789" s="4"/>
      <c r="M1789" s="4"/>
      <c r="N1789" s="4"/>
      <c r="O1789" s="4"/>
      <c r="P1789" s="4"/>
      <c r="Q1789" s="4"/>
      <c r="R1789" s="8"/>
      <c r="S1789" s="8"/>
    </row>
    <row r="1790" spans="9:19" ht="12.5">
      <c r="I1790" s="4"/>
      <c r="J1790" s="4"/>
      <c r="K1790" s="4"/>
      <c r="L1790" s="4"/>
      <c r="M1790" s="4"/>
      <c r="N1790" s="4"/>
      <c r="O1790" s="4"/>
      <c r="P1790" s="4"/>
      <c r="Q1790" s="4"/>
      <c r="R1790" s="8"/>
      <c r="S1790" s="8"/>
    </row>
    <row r="1791" spans="9:19" ht="12.5">
      <c r="I1791" s="4"/>
      <c r="J1791" s="4"/>
      <c r="K1791" s="4"/>
      <c r="L1791" s="4"/>
      <c r="M1791" s="4"/>
      <c r="N1791" s="4"/>
      <c r="O1791" s="4"/>
      <c r="P1791" s="4"/>
      <c r="Q1791" s="4"/>
      <c r="R1791" s="8"/>
      <c r="S1791" s="8"/>
    </row>
    <row r="1792" spans="9:19" ht="12.5">
      <c r="I1792" s="4"/>
      <c r="J1792" s="4"/>
      <c r="K1792" s="4"/>
      <c r="L1792" s="4"/>
      <c r="M1792" s="4"/>
      <c r="N1792" s="4"/>
      <c r="O1792" s="4"/>
      <c r="P1792" s="4"/>
      <c r="Q1792" s="4"/>
      <c r="R1792" s="8"/>
      <c r="S1792" s="8"/>
    </row>
    <row r="1793" spans="9:19" ht="12.5">
      <c r="I1793" s="4"/>
      <c r="J1793" s="4"/>
      <c r="K1793" s="4"/>
      <c r="L1793" s="4"/>
      <c r="M1793" s="4"/>
      <c r="N1793" s="4"/>
      <c r="O1793" s="4"/>
      <c r="P1793" s="4"/>
      <c r="Q1793" s="4"/>
      <c r="R1793" s="8"/>
      <c r="S1793" s="8"/>
    </row>
    <row r="1794" spans="9:19" ht="12.5">
      <c r="I1794" s="4"/>
      <c r="J1794" s="4"/>
      <c r="K1794" s="4"/>
      <c r="L1794" s="4"/>
      <c r="M1794" s="4"/>
      <c r="N1794" s="4"/>
      <c r="O1794" s="4"/>
      <c r="P1794" s="4"/>
      <c r="Q1794" s="4"/>
      <c r="R1794" s="8"/>
      <c r="S1794" s="8"/>
    </row>
    <row r="1795" spans="9:19" ht="12.5">
      <c r="I1795" s="4"/>
      <c r="J1795" s="4"/>
      <c r="K1795" s="4"/>
      <c r="L1795" s="4"/>
      <c r="M1795" s="4"/>
      <c r="N1795" s="4"/>
      <c r="O1795" s="4"/>
      <c r="P1795" s="4"/>
      <c r="Q1795" s="4"/>
      <c r="R1795" s="8"/>
      <c r="S1795" s="8"/>
    </row>
    <row r="1796" spans="9:19" ht="12.5">
      <c r="I1796" s="4"/>
      <c r="J1796" s="4"/>
      <c r="K1796" s="4"/>
      <c r="L1796" s="4"/>
      <c r="M1796" s="4"/>
      <c r="N1796" s="4"/>
      <c r="O1796" s="4"/>
      <c r="P1796" s="4"/>
      <c r="Q1796" s="4"/>
      <c r="R1796" s="8"/>
      <c r="S1796" s="8"/>
    </row>
    <row r="1797" spans="9:19" ht="12.5">
      <c r="I1797" s="4"/>
      <c r="J1797" s="4"/>
      <c r="K1797" s="4"/>
      <c r="L1797" s="4"/>
      <c r="M1797" s="4"/>
      <c r="N1797" s="4"/>
      <c r="O1797" s="4"/>
      <c r="P1797" s="4"/>
      <c r="Q1797" s="4"/>
      <c r="R1797" s="8"/>
      <c r="S1797" s="8"/>
    </row>
    <row r="1798" spans="9:19" ht="12.5">
      <c r="I1798" s="4"/>
      <c r="J1798" s="4"/>
      <c r="K1798" s="4"/>
      <c r="L1798" s="4"/>
      <c r="M1798" s="4"/>
      <c r="N1798" s="4"/>
      <c r="O1798" s="4"/>
      <c r="P1798" s="4"/>
      <c r="Q1798" s="4"/>
      <c r="R1798" s="8"/>
      <c r="S1798" s="8"/>
    </row>
    <row r="1799" spans="9:19" ht="12.5">
      <c r="I1799" s="4"/>
    </row>
    <row r="1800" spans="9:19" ht="12.5">
      <c r="I1800" s="4"/>
    </row>
    <row r="1801" spans="9:19" ht="12.5">
      <c r="I1801" s="4"/>
    </row>
    <row r="1802" spans="9:19" ht="12.5">
      <c r="I1802" s="4"/>
    </row>
    <row r="1803" spans="9:19" ht="12.5">
      <c r="I1803" s="4"/>
    </row>
    <row r="1804" spans="9:19" ht="12.5">
      <c r="I1804" s="4"/>
    </row>
    <row r="1805" spans="9:19" ht="12.5">
      <c r="I1805" s="4"/>
    </row>
    <row r="1806" spans="9:19" ht="12.5">
      <c r="I1806" s="4"/>
    </row>
    <row r="1807" spans="9:19" ht="12.5">
      <c r="I1807" s="4"/>
    </row>
    <row r="1808" spans="9:19" ht="12.5">
      <c r="I1808" s="4"/>
    </row>
    <row r="1809" spans="9:9" ht="12.5">
      <c r="I1809" s="4"/>
    </row>
    <row r="1810" spans="9:9" ht="12.5">
      <c r="I1810" s="4"/>
    </row>
    <row r="1811" spans="9:9" ht="12.5">
      <c r="I1811" s="4"/>
    </row>
    <row r="1812" spans="9:9" ht="12.5">
      <c r="I1812" s="4"/>
    </row>
    <row r="1813" spans="9:9" ht="12.5">
      <c r="I1813" s="4"/>
    </row>
    <row r="1814" spans="9:9" ht="12.5">
      <c r="I1814" s="4"/>
    </row>
    <row r="1815" spans="9:9" ht="12.5">
      <c r="I1815" s="4"/>
    </row>
    <row r="1816" spans="9:9" ht="12.5">
      <c r="I1816" s="4"/>
    </row>
    <row r="1817" spans="9:9" ht="12.5">
      <c r="I1817" s="4"/>
    </row>
    <row r="1818" spans="9:9" ht="12.5">
      <c r="I1818" s="4"/>
    </row>
    <row r="1819" spans="9:9" ht="12.5">
      <c r="I1819" s="4"/>
    </row>
    <row r="1820" spans="9:9" ht="12.5">
      <c r="I1820" s="4"/>
    </row>
    <row r="1821" spans="9:9" ht="12.5">
      <c r="I1821" s="4"/>
    </row>
    <row r="1822" spans="9:9" ht="12.5">
      <c r="I1822" s="4"/>
    </row>
    <row r="1823" spans="9:9" ht="12.5">
      <c r="I1823" s="4"/>
    </row>
    <row r="1824" spans="9:9" ht="12.5">
      <c r="I1824" s="4"/>
    </row>
    <row r="1825" spans="9:9" ht="12.5">
      <c r="I1825" s="4"/>
    </row>
    <row r="1826" spans="9:9" ht="12.5">
      <c r="I1826" s="4"/>
    </row>
    <row r="1827" spans="9:9" ht="12.5">
      <c r="I1827" s="4"/>
    </row>
    <row r="1828" spans="9:9" ht="12.5">
      <c r="I1828" s="4"/>
    </row>
    <row r="1829" spans="9:9" ht="12.5">
      <c r="I1829" s="4"/>
    </row>
    <row r="1830" spans="9:9" ht="12.5">
      <c r="I1830" s="4"/>
    </row>
    <row r="1831" spans="9:9" ht="12.5">
      <c r="I1831" s="4"/>
    </row>
    <row r="1832" spans="9:9" ht="12.5">
      <c r="I1832" s="4"/>
    </row>
    <row r="1833" spans="9:9" ht="12.5">
      <c r="I1833" s="4"/>
    </row>
    <row r="1834" spans="9:9" ht="12.5">
      <c r="I1834" s="4"/>
    </row>
    <row r="1835" spans="9:9" ht="12.5">
      <c r="I1835" s="4"/>
    </row>
    <row r="1836" spans="9:9" ht="12.5">
      <c r="I1836" s="4"/>
    </row>
    <row r="1837" spans="9:9" ht="12.5">
      <c r="I1837" s="4"/>
    </row>
    <row r="1838" spans="9:9" ht="12.5">
      <c r="I1838" s="4"/>
    </row>
    <row r="1839" spans="9:9" ht="12.5">
      <c r="I1839" s="4"/>
    </row>
    <row r="1840" spans="9:9" ht="12.5">
      <c r="I1840" s="4"/>
    </row>
    <row r="1841" spans="9:9" ht="12.5">
      <c r="I1841" s="4"/>
    </row>
    <row r="1842" spans="9:9" ht="12.5">
      <c r="I1842" s="4"/>
    </row>
    <row r="1843" spans="9:9" ht="12.5">
      <c r="I1843" s="4"/>
    </row>
    <row r="1844" spans="9:9" ht="12.5">
      <c r="I1844" s="4"/>
    </row>
    <row r="1845" spans="9:9" ht="12.5">
      <c r="I1845" s="4"/>
    </row>
    <row r="1846" spans="9:9" ht="12.5">
      <c r="I1846" s="4"/>
    </row>
    <row r="1847" spans="9:9" ht="12.5">
      <c r="I1847" s="4"/>
    </row>
    <row r="1848" spans="9:9" ht="12.5">
      <c r="I1848" s="4"/>
    </row>
    <row r="1849" spans="9:9" ht="12.5">
      <c r="I1849" s="4"/>
    </row>
    <row r="1850" spans="9:9" ht="12.5">
      <c r="I1850" s="4"/>
    </row>
    <row r="1851" spans="9:9" ht="12.5">
      <c r="I1851" s="4"/>
    </row>
    <row r="1852" spans="9:9" ht="12.5">
      <c r="I1852" s="4"/>
    </row>
    <row r="1853" spans="9:9" ht="12.5">
      <c r="I1853" s="4"/>
    </row>
    <row r="1854" spans="9:9" ht="12.5">
      <c r="I1854" s="4"/>
    </row>
    <row r="1855" spans="9:9" ht="12.5">
      <c r="I1855" s="4"/>
    </row>
    <row r="1856" spans="9:9" ht="12.5">
      <c r="I1856" s="4"/>
    </row>
    <row r="1857" spans="9:9" ht="12.5">
      <c r="I1857" s="4"/>
    </row>
    <row r="1858" spans="9:9" ht="12.5">
      <c r="I1858" s="4"/>
    </row>
    <row r="1859" spans="9:9" ht="12.5">
      <c r="I1859" s="4"/>
    </row>
    <row r="1860" spans="9:9" ht="12.5">
      <c r="I1860" s="4"/>
    </row>
    <row r="1861" spans="9:9" ht="12.5">
      <c r="I1861" s="4"/>
    </row>
    <row r="1862" spans="9:9" ht="12.5">
      <c r="I1862" s="4"/>
    </row>
    <row r="1863" spans="9:9" ht="12.5">
      <c r="I1863" s="4"/>
    </row>
    <row r="1864" spans="9:9" ht="12.5">
      <c r="I1864" s="4"/>
    </row>
    <row r="1865" spans="9:9" ht="12.5">
      <c r="I1865" s="4"/>
    </row>
    <row r="1866" spans="9:9" ht="12.5">
      <c r="I1866" s="4"/>
    </row>
    <row r="1867" spans="9:9" ht="12.5">
      <c r="I1867" s="4"/>
    </row>
    <row r="1868" spans="9:9" ht="12.5">
      <c r="I1868" s="4"/>
    </row>
    <row r="1869" spans="9:9" ht="12.5">
      <c r="I1869" s="4"/>
    </row>
    <row r="1870" spans="9:9" ht="12.5">
      <c r="I1870" s="4"/>
    </row>
    <row r="1871" spans="9:9" ht="12.5">
      <c r="I1871" s="4"/>
    </row>
    <row r="1872" spans="9:9" ht="12.5">
      <c r="I1872" s="4"/>
    </row>
    <row r="1873" spans="9:9" ht="12.5">
      <c r="I1873" s="4"/>
    </row>
    <row r="1874" spans="9:9" ht="12.5">
      <c r="I1874" s="4"/>
    </row>
    <row r="1875" spans="9:9" ht="12.5">
      <c r="I1875" s="4"/>
    </row>
    <row r="1876" spans="9:9" ht="12.5">
      <c r="I1876" s="4"/>
    </row>
    <row r="1877" spans="9:9" ht="12.5">
      <c r="I1877" s="4"/>
    </row>
    <row r="1878" spans="9:9" ht="12.5">
      <c r="I1878" s="4"/>
    </row>
    <row r="1879" spans="9:9" ht="12.5">
      <c r="I1879" s="4"/>
    </row>
    <row r="1880" spans="9:9" ht="12.5">
      <c r="I1880" s="4"/>
    </row>
    <row r="1881" spans="9:9" ht="12.5">
      <c r="I1881" s="4"/>
    </row>
    <row r="1882" spans="9:9" ht="12.5">
      <c r="I1882" s="4"/>
    </row>
    <row r="1883" spans="9:9" ht="12.5">
      <c r="I1883" s="4"/>
    </row>
    <row r="1884" spans="9:9" ht="12.5">
      <c r="I1884" s="4"/>
    </row>
    <row r="1885" spans="9:9" ht="12.5">
      <c r="I1885" s="4"/>
    </row>
    <row r="1886" spans="9:9" ht="12.5">
      <c r="I1886" s="4"/>
    </row>
    <row r="1887" spans="9:9" ht="12.5">
      <c r="I1887" s="4"/>
    </row>
    <row r="1888" spans="9:9" ht="12.5">
      <c r="I1888" s="4"/>
    </row>
    <row r="1889" spans="9:9" ht="12.5">
      <c r="I1889" s="4"/>
    </row>
    <row r="1890" spans="9:9" ht="12.5">
      <c r="I1890" s="4"/>
    </row>
    <row r="1891" spans="9:9" ht="12.5">
      <c r="I1891" s="4"/>
    </row>
    <row r="1892" spans="9:9" ht="12.5">
      <c r="I1892" s="4"/>
    </row>
    <row r="1893" spans="9:9" ht="12.5">
      <c r="I1893" s="4"/>
    </row>
    <row r="1894" spans="9:9" ht="12.5">
      <c r="I1894" s="4"/>
    </row>
    <row r="1895" spans="9:9" ht="12.5">
      <c r="I1895" s="4"/>
    </row>
    <row r="1896" spans="9:9" ht="12.5">
      <c r="I1896" s="4"/>
    </row>
    <row r="1897" spans="9:9" ht="12.5">
      <c r="I1897" s="4"/>
    </row>
    <row r="1898" spans="9:9" ht="12.5">
      <c r="I1898" s="4"/>
    </row>
    <row r="1899" spans="9:9" ht="12.5">
      <c r="I1899" s="4"/>
    </row>
    <row r="1900" spans="9:9" ht="12.5">
      <c r="I1900" s="4"/>
    </row>
    <row r="1901" spans="9:9" ht="12.5">
      <c r="I1901" s="4"/>
    </row>
    <row r="1902" spans="9:9" ht="12.5">
      <c r="I1902" s="4"/>
    </row>
    <row r="1903" spans="9:9" ht="12.5">
      <c r="I1903" s="4"/>
    </row>
    <row r="1904" spans="9:9" ht="12.5">
      <c r="I1904" s="4"/>
    </row>
    <row r="1905" spans="9:9" ht="12.5">
      <c r="I1905" s="4"/>
    </row>
    <row r="1906" spans="9:9" ht="12.5">
      <c r="I1906" s="4"/>
    </row>
    <row r="1907" spans="9:9" ht="12.5">
      <c r="I1907" s="4"/>
    </row>
    <row r="1908" spans="9:9" ht="12.5">
      <c r="I1908" s="4"/>
    </row>
    <row r="1909" spans="9:9" ht="12.5">
      <c r="I1909" s="4"/>
    </row>
    <row r="1910" spans="9:9" ht="12.5">
      <c r="I1910" s="4"/>
    </row>
    <row r="1911" spans="9:9" ht="12.5">
      <c r="I1911" s="4"/>
    </row>
    <row r="1912" spans="9:9" ht="12.5">
      <c r="I1912" s="4"/>
    </row>
    <row r="1913" spans="9:9" ht="12.5">
      <c r="I1913" s="4"/>
    </row>
    <row r="1914" spans="9:9" ht="12.5">
      <c r="I1914" s="4"/>
    </row>
    <row r="1915" spans="9:9" ht="12.5">
      <c r="I1915" s="4"/>
    </row>
    <row r="1916" spans="9:9" ht="12.5">
      <c r="I1916" s="4"/>
    </row>
    <row r="1917" spans="9:9" ht="12.5">
      <c r="I1917" s="4"/>
    </row>
    <row r="1918" spans="9:9" ht="12.5">
      <c r="I1918" s="4"/>
    </row>
    <row r="1919" spans="9:9" ht="12.5">
      <c r="I1919" s="4"/>
    </row>
    <row r="1920" spans="9:9" ht="12.5">
      <c r="I1920" s="4"/>
    </row>
    <row r="1921" spans="9:9" ht="12.5">
      <c r="I1921" s="4"/>
    </row>
    <row r="1922" spans="9:9" ht="12.5">
      <c r="I1922" s="4"/>
    </row>
    <row r="1923" spans="9:9" ht="12.5">
      <c r="I1923" s="4"/>
    </row>
    <row r="1924" spans="9:9" ht="12.5">
      <c r="I1924" s="4"/>
    </row>
    <row r="1925" spans="9:9" ht="12.5">
      <c r="I1925" s="4"/>
    </row>
    <row r="1926" spans="9:9" ht="12.5">
      <c r="I1926" s="4"/>
    </row>
    <row r="1927" spans="9:9" ht="12.5">
      <c r="I1927" s="4"/>
    </row>
    <row r="1928" spans="9:9" ht="12.5">
      <c r="I1928" s="4"/>
    </row>
    <row r="1929" spans="9:9" ht="12.5">
      <c r="I1929" s="4"/>
    </row>
    <row r="1930" spans="9:9" ht="12.5">
      <c r="I1930" s="4"/>
    </row>
    <row r="1931" spans="9:9" ht="12.5">
      <c r="I1931" s="4"/>
    </row>
    <row r="1932" spans="9:9" ht="12.5">
      <c r="I1932" s="4"/>
    </row>
    <row r="1933" spans="9:9" ht="12.5">
      <c r="I1933" s="4"/>
    </row>
    <row r="1934" spans="9:9" ht="12.5">
      <c r="I1934" s="4"/>
    </row>
    <row r="1935" spans="9:9" ht="12.5">
      <c r="I1935" s="4"/>
    </row>
    <row r="1936" spans="9:9" ht="12.5">
      <c r="I1936" s="4"/>
    </row>
    <row r="1937" spans="9:9" ht="12.5">
      <c r="I1937" s="4"/>
    </row>
    <row r="1938" spans="9:9" ht="12.5">
      <c r="I1938" s="4"/>
    </row>
    <row r="1939" spans="9:9" ht="12.5">
      <c r="I1939" s="4"/>
    </row>
    <row r="1940" spans="9:9" ht="12.5">
      <c r="I1940" s="4"/>
    </row>
    <row r="1941" spans="9:9" ht="12.5">
      <c r="I1941" s="4"/>
    </row>
    <row r="1942" spans="9:9" ht="12.5">
      <c r="I1942" s="4"/>
    </row>
    <row r="1943" spans="9:9" ht="12.5">
      <c r="I1943" s="4"/>
    </row>
    <row r="1944" spans="9:9" ht="12.5">
      <c r="I1944" s="4"/>
    </row>
    <row r="1945" spans="9:9" ht="12.5">
      <c r="I1945" s="4"/>
    </row>
    <row r="1946" spans="9:9" ht="12.5">
      <c r="I1946" s="4"/>
    </row>
    <row r="1947" spans="9:9" ht="12.5">
      <c r="I1947" s="4"/>
    </row>
    <row r="1948" spans="9:9" ht="12.5">
      <c r="I1948" s="4"/>
    </row>
    <row r="1949" spans="9:9" ht="12.5">
      <c r="I1949" s="4"/>
    </row>
    <row r="1950" spans="9:9" ht="12.5">
      <c r="I1950" s="4"/>
    </row>
    <row r="1951" spans="9:9" ht="12.5">
      <c r="I1951" s="4"/>
    </row>
    <row r="1952" spans="9:9" ht="12.5">
      <c r="I1952" s="4"/>
    </row>
    <row r="1953" spans="9:9" ht="12.5">
      <c r="I1953" s="4"/>
    </row>
    <row r="1954" spans="9:9" ht="12.5">
      <c r="I1954" s="4"/>
    </row>
    <row r="1955" spans="9:9" ht="12.5">
      <c r="I1955" s="4"/>
    </row>
    <row r="1956" spans="9:9" ht="12.5">
      <c r="I1956" s="4"/>
    </row>
    <row r="1957" spans="9:9" ht="12.5">
      <c r="I1957" s="4"/>
    </row>
    <row r="1958" spans="9:9" ht="12.5">
      <c r="I1958" s="4"/>
    </row>
    <row r="1959" spans="9:9" ht="12.5">
      <c r="I1959" s="4"/>
    </row>
    <row r="1960" spans="9:9" ht="12.5">
      <c r="I1960" s="4"/>
    </row>
    <row r="1961" spans="9:9" ht="12.5">
      <c r="I1961" s="4"/>
    </row>
    <row r="1962" spans="9:9" ht="12.5">
      <c r="I1962" s="4"/>
    </row>
    <row r="1963" spans="9:9" ht="12.5">
      <c r="I1963" s="4"/>
    </row>
    <row r="1964" spans="9:9" ht="12.5">
      <c r="I1964" s="4"/>
    </row>
    <row r="1965" spans="9:9" ht="12.5">
      <c r="I1965" s="4"/>
    </row>
    <row r="1966" spans="9:9" ht="12.5">
      <c r="I1966" s="4"/>
    </row>
    <row r="1967" spans="9:9" ht="12.5">
      <c r="I1967" s="4"/>
    </row>
    <row r="1968" spans="9:9" ht="12.5">
      <c r="I1968" s="4"/>
    </row>
    <row r="1969" spans="9:9" ht="12.5">
      <c r="I1969" s="4"/>
    </row>
    <row r="1970" spans="9:9" ht="12.5">
      <c r="I1970" s="4"/>
    </row>
    <row r="1971" spans="9:9" ht="12.5">
      <c r="I1971" s="4"/>
    </row>
    <row r="1972" spans="9:9" ht="12.5">
      <c r="I1972" s="4"/>
    </row>
    <row r="1973" spans="9:9" ht="12.5">
      <c r="I1973" s="4"/>
    </row>
    <row r="1974" spans="9:9" ht="12.5">
      <c r="I1974" s="4"/>
    </row>
    <row r="1975" spans="9:9" ht="12.5">
      <c r="I1975" s="4"/>
    </row>
    <row r="1976" spans="9:9" ht="12.5">
      <c r="I1976" s="4"/>
    </row>
    <row r="1977" spans="9:9" ht="12.5">
      <c r="I1977" s="4"/>
    </row>
    <row r="1978" spans="9:9" ht="12.5">
      <c r="I1978" s="4"/>
    </row>
    <row r="1979" spans="9:9" ht="12.5">
      <c r="I1979" s="4"/>
    </row>
    <row r="1980" spans="9:9" ht="12.5">
      <c r="I1980" s="4"/>
    </row>
    <row r="1981" spans="9:9" ht="12.5">
      <c r="I1981" s="4"/>
    </row>
    <row r="1982" spans="9:9" ht="12.5">
      <c r="I1982" s="4"/>
    </row>
    <row r="1983" spans="9:9" ht="12.5">
      <c r="I1983" s="4"/>
    </row>
    <row r="1984" spans="9:9" ht="12.5">
      <c r="I1984" s="4"/>
    </row>
    <row r="1985" spans="9:9" ht="12.5">
      <c r="I1985" s="4"/>
    </row>
    <row r="1986" spans="9:9" ht="12.5">
      <c r="I1986" s="4"/>
    </row>
    <row r="1987" spans="9:9" ht="12.5">
      <c r="I1987" s="4"/>
    </row>
    <row r="1988" spans="9:9" ht="12.5">
      <c r="I1988" s="4"/>
    </row>
    <row r="1989" spans="9:9" ht="12.5">
      <c r="I1989" s="4"/>
    </row>
    <row r="1990" spans="9:9" ht="12.5">
      <c r="I1990" s="4"/>
    </row>
    <row r="1991" spans="9:9" ht="12.5">
      <c r="I1991" s="4"/>
    </row>
    <row r="1992" spans="9:9" ht="12.5">
      <c r="I1992" s="4"/>
    </row>
    <row r="1993" spans="9:9" ht="12.5">
      <c r="I1993" s="4"/>
    </row>
    <row r="1994" spans="9:9" ht="12.5">
      <c r="I1994" s="4"/>
    </row>
    <row r="1995" spans="9:9" ht="12.5">
      <c r="I1995" s="4"/>
    </row>
    <row r="1996" spans="9:9" ht="12.5">
      <c r="I1996" s="4"/>
    </row>
    <row r="1997" spans="9:9" ht="12.5">
      <c r="I1997" s="4"/>
    </row>
    <row r="1998" spans="9:9" ht="12.5">
      <c r="I1998" s="4"/>
    </row>
    <row r="1999" spans="9:9" ht="12.5">
      <c r="I1999" s="4"/>
    </row>
    <row r="2000" spans="9:9" ht="12.5">
      <c r="I2000" s="4"/>
    </row>
    <row r="2001" spans="9:9" ht="12.5">
      <c r="I2001" s="4"/>
    </row>
    <row r="2002" spans="9:9" ht="12.5">
      <c r="I2002" s="4"/>
    </row>
    <row r="2003" spans="9:9" ht="12.5">
      <c r="I2003" s="4"/>
    </row>
    <row r="2004" spans="9:9" ht="12.5">
      <c r="I2004" s="4"/>
    </row>
    <row r="2005" spans="9:9" ht="12.5">
      <c r="I2005" s="4"/>
    </row>
    <row r="2006" spans="9:9" ht="12.5">
      <c r="I2006" s="4"/>
    </row>
    <row r="2007" spans="9:9" ht="12.5">
      <c r="I2007" s="4"/>
    </row>
    <row r="2008" spans="9:9" ht="12.5">
      <c r="I2008" s="4"/>
    </row>
    <row r="2009" spans="9:9" ht="12.5">
      <c r="I2009" s="4"/>
    </row>
    <row r="2010" spans="9:9" ht="12.5">
      <c r="I2010" s="4"/>
    </row>
    <row r="2011" spans="9:9" ht="12.5">
      <c r="I2011" s="4"/>
    </row>
    <row r="2012" spans="9:9" ht="12.5">
      <c r="I2012" s="4"/>
    </row>
    <row r="2013" spans="9:9" ht="12.5">
      <c r="I2013" s="4"/>
    </row>
    <row r="2014" spans="9:9" ht="12.5">
      <c r="I2014" s="4"/>
    </row>
    <row r="2015" spans="9:9" ht="12.5">
      <c r="I2015" s="4"/>
    </row>
    <row r="2016" spans="9:9" ht="12.5">
      <c r="I2016" s="4"/>
    </row>
    <row r="2017" spans="9:9" ht="12.5">
      <c r="I2017" s="4"/>
    </row>
    <row r="2018" spans="9:9" ht="12.5">
      <c r="I2018" s="4"/>
    </row>
    <row r="2019" spans="9:9" ht="12.5">
      <c r="I2019" s="4"/>
    </row>
    <row r="2020" spans="9:9" ht="12.5">
      <c r="I2020" s="4"/>
    </row>
    <row r="2021" spans="9:9" ht="12.5">
      <c r="I2021" s="4"/>
    </row>
    <row r="2022" spans="9:9" ht="12.5">
      <c r="I2022" s="4"/>
    </row>
    <row r="2023" spans="9:9" ht="12.5">
      <c r="I2023" s="4"/>
    </row>
    <row r="2024" spans="9:9" ht="12.5">
      <c r="I2024" s="4"/>
    </row>
    <row r="2025" spans="9:9" ht="12.5">
      <c r="I2025" s="4"/>
    </row>
    <row r="2026" spans="9:9" ht="12.5">
      <c r="I2026" s="4"/>
    </row>
    <row r="2027" spans="9:9" ht="12.5">
      <c r="I2027" s="4"/>
    </row>
    <row r="2028" spans="9:9" ht="12.5">
      <c r="I2028" s="4"/>
    </row>
    <row r="2029" spans="9:9" ht="12.5">
      <c r="I2029" s="4"/>
    </row>
    <row r="2030" spans="9:9" ht="12.5">
      <c r="I2030" s="4"/>
    </row>
    <row r="2031" spans="9:9" ht="12.5">
      <c r="I2031" s="4"/>
    </row>
    <row r="2032" spans="9:9" ht="12.5">
      <c r="I2032" s="4"/>
    </row>
    <row r="2033" spans="9:9" ht="12.5">
      <c r="I2033" s="4"/>
    </row>
    <row r="2034" spans="9:9" ht="12.5">
      <c r="I2034" s="4"/>
    </row>
    <row r="2035" spans="9:9" ht="12.5">
      <c r="I2035" s="4"/>
    </row>
    <row r="2036" spans="9:9" ht="12.5">
      <c r="I2036" s="4"/>
    </row>
    <row r="2037" spans="9:9" ht="12.5">
      <c r="I2037" s="4"/>
    </row>
    <row r="2038" spans="9:9" ht="12.5">
      <c r="I2038" s="4"/>
    </row>
    <row r="2039" spans="9:9" ht="12.5">
      <c r="I2039" s="4"/>
    </row>
    <row r="2040" spans="9:9" ht="12.5">
      <c r="I2040" s="4"/>
    </row>
    <row r="2041" spans="9:9" ht="12.5">
      <c r="I2041" s="4"/>
    </row>
    <row r="2042" spans="9:9" ht="12.5">
      <c r="I2042" s="4"/>
    </row>
    <row r="2043" spans="9:9" ht="12.5">
      <c r="I2043" s="4"/>
    </row>
    <row r="2044" spans="9:9" ht="12.5">
      <c r="I2044" s="4"/>
    </row>
    <row r="2045" spans="9:9" ht="12.5">
      <c r="I2045" s="4"/>
    </row>
    <row r="2046" spans="9:9" ht="12.5">
      <c r="I2046" s="4"/>
    </row>
    <row r="2047" spans="9:9" ht="12.5">
      <c r="I2047" s="4"/>
    </row>
    <row r="2048" spans="9:9" ht="12.5">
      <c r="I2048" s="4"/>
    </row>
    <row r="2049" spans="9:9" ht="12.5">
      <c r="I2049" s="4"/>
    </row>
    <row r="2050" spans="9:9" ht="12.5">
      <c r="I2050" s="4"/>
    </row>
    <row r="2051" spans="9:9" ht="12.5">
      <c r="I2051" s="4"/>
    </row>
    <row r="2052" spans="9:9" ht="12.5">
      <c r="I2052" s="4"/>
    </row>
    <row r="2053" spans="9:9" ht="12.5">
      <c r="I2053" s="4"/>
    </row>
    <row r="2054" spans="9:9" ht="12.5">
      <c r="I2054" s="4"/>
    </row>
    <row r="2055" spans="9:9" ht="12.5">
      <c r="I2055" s="4"/>
    </row>
    <row r="2056" spans="9:9" ht="12.5">
      <c r="I2056" s="4"/>
    </row>
    <row r="2057" spans="9:9" ht="12.5">
      <c r="I2057" s="4"/>
    </row>
    <row r="2058" spans="9:9" ht="12.5">
      <c r="I2058" s="4"/>
    </row>
    <row r="2059" spans="9:9" ht="12.5">
      <c r="I2059" s="4"/>
    </row>
    <row r="2060" spans="9:9" ht="12.5">
      <c r="I2060" s="4"/>
    </row>
    <row r="2061" spans="9:9" ht="12.5">
      <c r="I2061" s="4"/>
    </row>
    <row r="2062" spans="9:9" ht="12.5">
      <c r="I2062" s="4"/>
    </row>
    <row r="2063" spans="9:9" ht="12.5">
      <c r="I2063" s="4"/>
    </row>
    <row r="2064" spans="9:9" ht="12.5">
      <c r="I2064" s="4"/>
    </row>
    <row r="2065" spans="9:9" ht="12.5">
      <c r="I2065" s="4"/>
    </row>
    <row r="2066" spans="9:9" ht="12.5">
      <c r="I2066" s="4"/>
    </row>
    <row r="2067" spans="9:9" ht="12.5">
      <c r="I2067" s="4"/>
    </row>
    <row r="2068" spans="9:9" ht="12.5">
      <c r="I2068" s="4"/>
    </row>
    <row r="2069" spans="9:9" ht="12.5">
      <c r="I2069" s="4"/>
    </row>
    <row r="2070" spans="9:9" ht="12.5">
      <c r="I2070" s="4"/>
    </row>
    <row r="2071" spans="9:9" ht="12.5">
      <c r="I2071" s="4"/>
    </row>
    <row r="2072" spans="9:9" ht="12.5">
      <c r="I2072" s="4"/>
    </row>
    <row r="2073" spans="9:9" ht="12.5">
      <c r="I2073" s="4"/>
    </row>
    <row r="2074" spans="9:9" ht="12.5">
      <c r="I2074" s="4"/>
    </row>
    <row r="2075" spans="9:9" ht="12.5">
      <c r="I2075" s="4"/>
    </row>
    <row r="2076" spans="9:9" ht="12.5">
      <c r="I2076" s="4"/>
    </row>
    <row r="2077" spans="9:9" ht="12.5">
      <c r="I2077" s="4"/>
    </row>
    <row r="2078" spans="9:9" ht="12.5">
      <c r="I2078" s="4"/>
    </row>
    <row r="2079" spans="9:9" ht="12.5">
      <c r="I2079" s="4"/>
    </row>
    <row r="2080" spans="9:9" ht="12.5">
      <c r="I2080" s="4"/>
    </row>
    <row r="2081" spans="9:9" ht="12.5">
      <c r="I2081" s="4"/>
    </row>
    <row r="2082" spans="9:9" ht="12.5">
      <c r="I2082" s="4"/>
    </row>
    <row r="2083" spans="9:9" ht="12.5">
      <c r="I2083" s="4"/>
    </row>
    <row r="2084" spans="9:9" ht="12.5">
      <c r="I2084" s="4"/>
    </row>
    <row r="2085" spans="9:9" ht="12.5">
      <c r="I2085" s="4"/>
    </row>
    <row r="2086" spans="9:9" ht="12.5">
      <c r="I2086" s="4"/>
    </row>
    <row r="2087" spans="9:9" ht="12.5">
      <c r="I2087" s="4"/>
    </row>
    <row r="2088" spans="9:9" ht="12.5">
      <c r="I2088" s="4"/>
    </row>
    <row r="2089" spans="9:9" ht="12.5">
      <c r="I2089" s="4"/>
    </row>
    <row r="2090" spans="9:9" ht="12.5">
      <c r="I2090" s="4"/>
    </row>
    <row r="2091" spans="9:9" ht="12.5">
      <c r="I2091" s="4"/>
    </row>
    <row r="2092" spans="9:9" ht="12.5">
      <c r="I2092" s="4"/>
    </row>
    <row r="2093" spans="9:9" ht="12.5">
      <c r="I2093" s="4"/>
    </row>
    <row r="2094" spans="9:9" ht="12.5">
      <c r="I2094" s="4"/>
    </row>
    <row r="2095" spans="9:9" ht="12.5">
      <c r="I2095" s="4"/>
    </row>
    <row r="2096" spans="9:9" ht="12.5">
      <c r="I2096" s="4"/>
    </row>
    <row r="2097" spans="9:9" ht="12.5">
      <c r="I2097" s="4"/>
    </row>
    <row r="2098" spans="9:9" ht="12.5">
      <c r="I2098" s="4"/>
    </row>
    <row r="2099" spans="9:9" ht="12.5">
      <c r="I2099" s="4"/>
    </row>
    <row r="2100" spans="9:9" ht="12.5">
      <c r="I2100" s="4"/>
    </row>
    <row r="2101" spans="9:9" ht="12.5">
      <c r="I2101" s="4"/>
    </row>
    <row r="2102" spans="9:9" ht="12.5">
      <c r="I2102" s="4"/>
    </row>
    <row r="2103" spans="9:9" ht="12.5">
      <c r="I2103" s="4"/>
    </row>
    <row r="2104" spans="9:9" ht="12.5">
      <c r="I2104" s="4"/>
    </row>
    <row r="2105" spans="9:9" ht="12.5">
      <c r="I2105" s="4"/>
    </row>
    <row r="2106" spans="9:9" ht="12.5">
      <c r="I2106" s="4"/>
    </row>
    <row r="2107" spans="9:9" ht="12.5">
      <c r="I2107" s="4"/>
    </row>
    <row r="2108" spans="9:9" ht="12.5">
      <c r="I2108" s="4"/>
    </row>
    <row r="2109" spans="9:9" ht="12.5">
      <c r="I2109" s="4"/>
    </row>
    <row r="2110" spans="9:9" ht="12.5">
      <c r="I2110" s="4"/>
    </row>
    <row r="2111" spans="9:9" ht="12.5">
      <c r="I2111" s="4"/>
    </row>
    <row r="2112" spans="9:9" ht="12.5">
      <c r="I2112" s="4"/>
    </row>
    <row r="2113" spans="9:9" ht="12.5">
      <c r="I2113" s="4"/>
    </row>
    <row r="2114" spans="9:9" ht="12.5">
      <c r="I2114" s="4"/>
    </row>
    <row r="2115" spans="9:9" ht="12.5">
      <c r="I2115" s="4"/>
    </row>
    <row r="2116" spans="9:9" ht="12.5">
      <c r="I2116" s="4"/>
    </row>
    <row r="2117" spans="9:9" ht="12.5">
      <c r="I2117" s="4"/>
    </row>
    <row r="2118" spans="9:9" ht="12.5">
      <c r="I2118" s="4"/>
    </row>
    <row r="2119" spans="9:9" ht="12.5">
      <c r="I2119" s="4"/>
    </row>
    <row r="2120" spans="9:9" ht="12.5">
      <c r="I2120" s="4"/>
    </row>
    <row r="2121" spans="9:9" ht="12.5">
      <c r="I2121" s="4"/>
    </row>
    <row r="2122" spans="9:9" ht="12.5">
      <c r="I2122" s="4"/>
    </row>
    <row r="2123" spans="9:9" ht="12.5">
      <c r="I2123" s="4"/>
    </row>
    <row r="2124" spans="9:9" ht="12.5">
      <c r="I2124" s="4"/>
    </row>
    <row r="2125" spans="9:9" ht="12.5">
      <c r="I2125" s="4"/>
    </row>
    <row r="2126" spans="9:9" ht="12.5">
      <c r="I2126" s="4"/>
    </row>
    <row r="2127" spans="9:9" ht="12.5">
      <c r="I2127" s="4"/>
    </row>
    <row r="2128" spans="9:9" ht="12.5">
      <c r="I2128" s="4"/>
    </row>
    <row r="2129" spans="9:9" ht="12.5">
      <c r="I2129" s="4"/>
    </row>
    <row r="2130" spans="9:9" ht="12.5">
      <c r="I2130" s="4"/>
    </row>
    <row r="2131" spans="9:9" ht="12.5">
      <c r="I2131" s="4"/>
    </row>
    <row r="2132" spans="9:9" ht="12.5">
      <c r="I2132" s="4"/>
    </row>
    <row r="2133" spans="9:9" ht="12.5">
      <c r="I2133" s="4"/>
    </row>
    <row r="2134" spans="9:9" ht="12.5">
      <c r="I2134" s="4"/>
    </row>
    <row r="2135" spans="9:9" ht="12.5">
      <c r="I2135" s="4"/>
    </row>
    <row r="2136" spans="9:9" ht="12.5">
      <c r="I2136" s="4"/>
    </row>
    <row r="2137" spans="9:9" ht="12.5">
      <c r="I2137" s="4"/>
    </row>
    <row r="2138" spans="9:9" ht="12.5">
      <c r="I2138" s="4"/>
    </row>
    <row r="2139" spans="9:9" ht="12.5">
      <c r="I2139" s="4"/>
    </row>
    <row r="2140" spans="9:9" ht="12.5">
      <c r="I2140" s="4"/>
    </row>
    <row r="2141" spans="9:9" ht="12.5">
      <c r="I2141" s="4"/>
    </row>
    <row r="2142" spans="9:9" ht="12.5">
      <c r="I2142" s="4"/>
    </row>
    <row r="2143" spans="9:9" ht="12.5">
      <c r="I2143" s="4"/>
    </row>
    <row r="2144" spans="9:9" ht="12.5">
      <c r="I2144" s="4"/>
    </row>
    <row r="2145" spans="9:9" ht="12.5">
      <c r="I2145" s="4"/>
    </row>
    <row r="2146" spans="9:9" ht="12.5">
      <c r="I2146" s="4"/>
    </row>
    <row r="2147" spans="9:9" ht="12.5">
      <c r="I2147" s="4"/>
    </row>
    <row r="2148" spans="9:9" ht="12.5">
      <c r="I2148" s="4"/>
    </row>
    <row r="2149" spans="9:9" ht="12.5">
      <c r="I2149" s="4"/>
    </row>
    <row r="2150" spans="9:9" ht="12.5">
      <c r="I2150" s="4"/>
    </row>
    <row r="2151" spans="9:9" ht="12.5">
      <c r="I2151" s="4"/>
    </row>
    <row r="2152" spans="9:9" ht="12.5">
      <c r="I2152" s="4"/>
    </row>
    <row r="2153" spans="9:9" ht="12.5">
      <c r="I2153" s="4"/>
    </row>
    <row r="2154" spans="9:9" ht="12.5">
      <c r="I2154" s="4"/>
    </row>
    <row r="2155" spans="9:9" ht="12.5">
      <c r="I2155" s="4"/>
    </row>
    <row r="2156" spans="9:9" ht="12.5">
      <c r="I2156" s="4"/>
    </row>
    <row r="2157" spans="9:9" ht="12.5">
      <c r="I2157" s="4"/>
    </row>
    <row r="2158" spans="9:9" ht="12.5">
      <c r="I2158" s="4"/>
    </row>
    <row r="2159" spans="9:9" ht="12.5">
      <c r="I2159" s="4"/>
    </row>
    <row r="2160" spans="9:9" ht="12.5">
      <c r="I2160" s="4"/>
    </row>
    <row r="2161" spans="9:9" ht="12.5">
      <c r="I2161" s="4"/>
    </row>
    <row r="2162" spans="9:9" ht="12.5">
      <c r="I2162" s="4"/>
    </row>
    <row r="2163" spans="9:9" ht="12.5">
      <c r="I2163" s="4"/>
    </row>
    <row r="2164" spans="9:9" ht="12.5">
      <c r="I2164" s="4"/>
    </row>
    <row r="2165" spans="9:9" ht="12.5">
      <c r="I2165" s="4"/>
    </row>
    <row r="2166" spans="9:9" ht="12.5">
      <c r="I2166" s="4"/>
    </row>
    <row r="2167" spans="9:9" ht="12.5">
      <c r="I2167" s="4"/>
    </row>
    <row r="2168" spans="9:9" ht="12.5">
      <c r="I2168" s="4"/>
    </row>
    <row r="2169" spans="9:9" ht="12.5">
      <c r="I2169" s="4"/>
    </row>
    <row r="2170" spans="9:9" ht="12.5">
      <c r="I2170" s="4"/>
    </row>
    <row r="2171" spans="9:9" ht="12.5">
      <c r="I2171" s="4"/>
    </row>
    <row r="2172" spans="9:9" ht="12.5">
      <c r="I2172" s="4"/>
    </row>
    <row r="2173" spans="9:9" ht="12.5">
      <c r="I2173" s="4"/>
    </row>
    <row r="2174" spans="9:9" ht="12.5">
      <c r="I2174" s="4"/>
    </row>
    <row r="2175" spans="9:9" ht="12.5">
      <c r="I2175" s="4"/>
    </row>
    <row r="2176" spans="9:9" ht="12.5">
      <c r="I2176" s="4"/>
    </row>
    <row r="2177" spans="9:9" ht="12.5">
      <c r="I2177" s="4"/>
    </row>
    <row r="2178" spans="9:9" ht="12.5">
      <c r="I2178" s="4"/>
    </row>
    <row r="2179" spans="9:9" ht="12.5">
      <c r="I2179" s="4"/>
    </row>
    <row r="2180" spans="9:9" ht="12.5">
      <c r="I2180" s="4"/>
    </row>
    <row r="2181" spans="9:9" ht="12.5">
      <c r="I2181" s="4"/>
    </row>
    <row r="2182" spans="9:9" ht="12.5">
      <c r="I2182" s="4"/>
    </row>
    <row r="2183" spans="9:9" ht="12.5">
      <c r="I2183" s="4"/>
    </row>
    <row r="2184" spans="9:9" ht="12.5">
      <c r="I2184" s="4"/>
    </row>
    <row r="2185" spans="9:9" ht="12.5">
      <c r="I2185" s="4"/>
    </row>
    <row r="2186" spans="9:9" ht="12.5">
      <c r="I2186" s="4"/>
    </row>
    <row r="2187" spans="9:9" ht="12.5">
      <c r="I2187" s="4"/>
    </row>
    <row r="2188" spans="9:9" ht="12.5">
      <c r="I2188" s="4"/>
    </row>
    <row r="2189" spans="9:9" ht="12.5">
      <c r="I2189" s="4"/>
    </row>
    <row r="2190" spans="9:9" ht="12.5">
      <c r="I2190" s="4"/>
    </row>
    <row r="2191" spans="9:9" ht="12.5">
      <c r="I2191" s="4"/>
    </row>
    <row r="2192" spans="9:9" ht="12.5">
      <c r="I2192" s="4"/>
    </row>
    <row r="2193" spans="9:9" ht="12.5">
      <c r="I2193" s="4"/>
    </row>
    <row r="2194" spans="9:9" ht="12.5">
      <c r="I2194" s="4"/>
    </row>
    <row r="2195" spans="9:9" ht="12.5">
      <c r="I2195" s="4"/>
    </row>
    <row r="2196" spans="9:9" ht="12.5">
      <c r="I2196" s="4"/>
    </row>
    <row r="2197" spans="9:9" ht="12.5">
      <c r="I2197" s="4"/>
    </row>
    <row r="2198" spans="9:9" ht="12.5">
      <c r="I2198" s="4"/>
    </row>
    <row r="2199" spans="9:9" ht="12.5">
      <c r="I2199" s="4"/>
    </row>
    <row r="2200" spans="9:9" ht="12.5">
      <c r="I2200" s="4"/>
    </row>
    <row r="2201" spans="9:9" ht="12.5">
      <c r="I2201" s="4"/>
    </row>
    <row r="2202" spans="9:9" ht="12.5">
      <c r="I2202" s="4"/>
    </row>
    <row r="2203" spans="9:9" ht="12.5">
      <c r="I2203" s="4"/>
    </row>
    <row r="2204" spans="9:9" ht="12.5">
      <c r="I2204" s="4"/>
    </row>
    <row r="2205" spans="9:9" ht="12.5">
      <c r="I2205" s="4"/>
    </row>
    <row r="2206" spans="9:9" ht="12.5">
      <c r="I2206" s="4"/>
    </row>
    <row r="2207" spans="9:9" ht="12.5">
      <c r="I2207" s="4"/>
    </row>
    <row r="2208" spans="9:9" ht="12.5">
      <c r="I2208" s="4"/>
    </row>
    <row r="2209" spans="9:10" ht="12.5">
      <c r="I2209" s="4"/>
    </row>
    <row r="2210" spans="9:10" ht="12.5">
      <c r="I2210" s="4"/>
    </row>
    <row r="2211" spans="9:10" ht="12.5">
      <c r="I2211" s="4"/>
    </row>
    <row r="2212" spans="9:10" ht="12.5">
      <c r="I2212" s="4"/>
    </row>
    <row r="2213" spans="9:10" ht="12.5">
      <c r="I2213" s="4"/>
    </row>
    <row r="2214" spans="9:10" ht="12.5">
      <c r="I2214" s="4"/>
    </row>
    <row r="2215" spans="9:10" ht="12.5">
      <c r="I2215" s="4"/>
    </row>
    <row r="2216" spans="9:10" ht="12.5">
      <c r="I2216" s="4"/>
    </row>
    <row r="2217" spans="9:10" ht="12.5">
      <c r="I2217" s="4"/>
    </row>
    <row r="2218" spans="9:10" ht="12.5">
      <c r="I2218" s="4"/>
    </row>
    <row r="2219" spans="9:10" ht="12.5">
      <c r="I2219" s="4"/>
    </row>
    <row r="2220" spans="9:10" ht="12.5">
      <c r="I2220" s="4"/>
      <c r="J2220" s="68"/>
    </row>
  </sheetData>
  <mergeCells count="3">
    <mergeCell ref="J1:L1"/>
    <mergeCell ref="M1:O1"/>
    <mergeCell ref="P1:R1"/>
  </mergeCells>
  <dataValidations count="6">
    <dataValidation type="list" allowBlank="1" showErrorMessage="1" sqref="F1" xr:uid="{00000000-0002-0000-0700-000000000000}">
      <formula1>"CURSO"</formula1>
    </dataValidation>
    <dataValidation type="list" allowBlank="1" showErrorMessage="1" sqref="S2:S1524 R1525:S1798" xr:uid="{00000000-0002-0000-0700-000001000000}">
      <formula1>"Ana,Automatico ,Dayana"</formula1>
    </dataValidation>
    <dataValidation type="list" allowBlank="1" showErrorMessage="1" sqref="I455" xr:uid="{00000000-0002-0000-0700-000002000000}">
      <formula1>"Pago ,Seguimiento,Recurso,Prospecto,Necesita homologar,No interesado,Busca una carrera universitaria,Pendiente por pago,Busca presencial ,Tiempo No Disponible"</formula1>
    </dataValidation>
    <dataValidation type="list" allowBlank="1" showErrorMessage="1" sqref="H2:H514 H532:H555 H576 H591:H608 H623:H624 H627:H628 H631:H680 H698:H741 H746:H760 H772:H774 H776:H834 H836:H873 H883 H894:H898 H900:H929 H969:H976 H987:H989 H993:H994 H996 H1010:H1011 H1024:H1025 H1149:H1216 H1225:H1235 H1249:H1251 H1254:H1255 H1257:H1273 H1282:H1284 H1286 H1288 H1293:H1295 H1298:H1324 H1346:H1364 H1366:H1438 H1448:H1492 H1496:H1500 H1506:H1528 H1535:H1540 H1552 H1584:H1611 H1616:H1745" xr:uid="{00000000-0002-0000-0700-000003000000}">
      <formula1>"Instagram,Whatsapp,Messenger,Web,Correo "</formula1>
    </dataValidation>
    <dataValidation type="list" allowBlank="1" showErrorMessage="1" sqref="I2:I3 I6:I454 I456:I2220" xr:uid="{00000000-0002-0000-0700-000004000000}">
      <formula1>"Pago ,Seguimiento,Recurso,Prospecto,Necesita homologar,No interesado,Busca una carrera universitaria,Pendiente por pago,Busca presencial ,No sabe de la solicitud"</formula1>
    </dataValidation>
    <dataValidation type="list" allowBlank="1" showErrorMessage="1" sqref="I4:I5" xr:uid="{00000000-0002-0000-0700-000005000000}">
      <formula1>"Pago ,Seguimiento,Recurso,No interesado,Prospecto"</formula1>
    </dataValidation>
  </dataValidations>
  <hyperlinks>
    <hyperlink ref="D143" r:id="rId1" xr:uid="{00000000-0004-0000-0700-000000000000}"/>
    <hyperlink ref="D698" r:id="rId2" xr:uid="{00000000-0004-0000-0700-000001000000}"/>
    <hyperlink ref="D761" r:id="rId3" xr:uid="{00000000-0004-0000-0700-000002000000}"/>
    <hyperlink ref="D1026" r:id="rId4" xr:uid="{00000000-0004-0000-0700-000003000000}"/>
    <hyperlink ref="D1166" r:id="rId5" xr:uid="{00000000-0004-0000-0700-000004000000}"/>
  </hyperlinks>
  <pageMargins left="0.7" right="0.7" top="0.75" bottom="0.75" header="0.3" footer="0.3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Manuel Saiz Casas</cp:lastModifiedBy>
  <dcterms:created xsi:type="dcterms:W3CDTF">2026-05-15T11:53:02Z</dcterms:created>
  <dcterms:modified xsi:type="dcterms:W3CDTF">2026-05-15T11:53:02Z</dcterms:modified>
</cp:coreProperties>
</file>